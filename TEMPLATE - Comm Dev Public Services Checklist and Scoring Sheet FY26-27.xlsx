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cgov.sharepoint.com/sites/DOH_HCD/Shared Documents/03- HCD Programs/Federal (HUD+ARPA)/__CDBG-HOME FY26-27 Funding Round (Y2)/04-Application scoring/Final Templates/"/>
    </mc:Choice>
  </mc:AlternateContent>
  <xr:revisionPtr revIDLastSave="1919" documentId="13_ncr:1_{88C51096-B85A-482A-9144-92EC1F2D6B38}" xr6:coauthVersionLast="47" xr6:coauthVersionMax="47" xr10:uidLastSave="{5ECBE350-11EE-4E17-93A2-7000A0044449}"/>
  <bookViews>
    <workbookView xWindow="38280" yWindow="-120" windowWidth="38640" windowHeight="21120" firstSheet="6" activeTab="6" xr2:uid="{97907AF5-03E5-4658-920B-2F5C8B7B54B8}"/>
  </bookViews>
  <sheets>
    <sheet name="Instructions" sheetId="5" state="hidden" r:id="rId1"/>
    <sheet name="Completion Checklist" sheetId="4" state="hidden" r:id="rId2"/>
    <sheet name="Scoring - New App" sheetId="3" state="hidden" r:id="rId3"/>
    <sheet name="Scoring - New Application" sheetId="7" state="hidden" r:id="rId4"/>
    <sheet name="App Checklist - Doc Review" sheetId="15" r:id="rId5"/>
    <sheet name="Threshold+Scoring - Reviewer 1" sheetId="13" r:id="rId6"/>
    <sheet name="Scoring Sheet - Reviewer 2" sheetId="16" r:id="rId7"/>
  </sheets>
  <definedNames>
    <definedName name="_xlnm.Print_Area" localSheetId="2">'Scoring - New App'!$A$1:$J$94</definedName>
    <definedName name="_xlnm.Print_Area" localSheetId="3">'Scoring - New Application'!$A$1:$J$85</definedName>
    <definedName name="_xlnm.Print_Area" localSheetId="6">'Scoring Sheet - Reviewer 2'!$A$1:$H$62</definedName>
    <definedName name="_xlnm.Print_Area" localSheetId="5">'Threshold+Scoring - Reviewer 1'!$A$1:$H$90</definedName>
    <definedName name="Text1">#REF!</definedName>
    <definedName name="Text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3" l="1"/>
  <c r="F18" i="16"/>
  <c r="E11" i="16"/>
  <c r="E10" i="16"/>
  <c r="E11" i="13"/>
  <c r="E10" i="13"/>
  <c r="I1" i="7"/>
  <c r="I66" i="7" l="1"/>
  <c r="I61" i="7"/>
  <c r="I53" i="7"/>
  <c r="I48" i="7"/>
  <c r="I42" i="7"/>
  <c r="F16" i="7"/>
  <c r="F15" i="7"/>
  <c r="E11" i="7"/>
  <c r="E10" i="7"/>
  <c r="G9" i="7"/>
  <c r="E9" i="7"/>
  <c r="G8" i="7"/>
  <c r="E8" i="7"/>
  <c r="E8" i="3"/>
  <c r="G8" i="3"/>
  <c r="E9" i="3"/>
  <c r="G9" i="3"/>
  <c r="E10" i="3"/>
  <c r="E11" i="3"/>
  <c r="F15" i="3"/>
  <c r="F16" i="3"/>
  <c r="I51" i="3"/>
  <c r="I57" i="3"/>
  <c r="I62" i="3"/>
  <c r="I70" i="3"/>
  <c r="I75" i="3"/>
  <c r="F14" i="3" l="1"/>
  <c r="F14" i="7"/>
  <c r="I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tc={E34EC4C0-9B79-4E27-B628-287D085BB301}</author>
    <author>tc={0B3CA9AB-572C-4734-A1BF-0D2951D2C7C4}</author>
    <author>tc={1FAF46B1-FB5E-4997-AB22-F1BCA5A0A1B9}</author>
    <author>tc={579C8A00-3ED9-40CE-B1B8-DEFE3CE6EB1E}</author>
    <author>tc={89566939-1A49-452A-B374-A65A8699C3EA}</author>
    <author>tc={55E7CBA1-B3DA-4C32-A937-2D646A27FE26}</author>
    <author>tc={1FDB0826-4664-44EB-B378-9DA8EEC5E23A}</author>
    <author>tc={06A0069B-76F5-4B71-A512-E4F37BAB3F83}</author>
    <author>tc={5E7AA1ED-DD69-4831-AE25-8A12CAE50D2E}</author>
    <author>tc={963FD30A-DF23-4905-A9B1-C2A81FEBC1C5}</author>
    <author>tc={B9F97FAE-F99C-4478-BA97-1DC2AD38E7C8}</author>
    <author>tc={74F64CF3-2CFC-4548-8489-21BC962EA46A}</author>
    <author>tc={8F856841-4113-4BD2-83A6-E56B761411D7}</author>
    <author>tc={EC6657A7-E75B-4EDE-9752-BBAF1D1727EE}</author>
    <author>tc={37D268D6-084E-463D-B624-95134B36B2DF}</author>
    <author>tc={0045B251-D8EE-42EA-B80D-3F2060758D6A}</author>
    <author>tc={B13E6584-C94E-4C3D-AB46-90989626651A}</author>
    <author>tc={3887DD1E-60DF-4AE7-8860-9146CA84CF91}</author>
    <author>tc={213AFFE8-A474-4671-8CAE-C429BAB13A18}</author>
  </authors>
  <commentList>
    <comment ref="G8" authorId="0" shapeId="0" xr:uid="{E34EC4C0-9B79-4E27-B628-287D085BB3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Complete Rows 8-14 prior to starting the Scoring. </t>
      </text>
    </comment>
    <comment ref="E12" authorId="1" shapeId="0" xr:uid="{0B3CA9AB-572C-4734-A1BF-0D2951D2C7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Item #17.a (table) from application. </t>
      </text>
    </comment>
    <comment ref="D36" authorId="2" shapeId="0" xr:uid="{1FAF46B1-FB5E-4997-AB22-F1BCA5A0A1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#4. Provide a one sentence project summary. 
#11. Project Specific Narrative.
SMC ONLY Question #2. Detailed scope of work
</t>
      </text>
    </comment>
    <comment ref="D37" authorId="3" shapeId="0" xr:uid="{579C8A00-3ED9-40CE-B1B8-DEFE3CE6E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 
-#11. Project Specific Narrative.
-#12. Assessment of Need.
-#17. Project Beneficiaries.
-#18. Populations Served. 
</t>
      </text>
    </comment>
    <comment ref="D40" authorId="4" shapeId="0" xr:uid="{89566939-1A49-452A-B374-A65A8699C3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-#14. Evaluation.
-#16. Impact.
-#19a. &amp; #19b. Demographics. 
</t>
      </text>
    </comment>
    <comment ref="D41" authorId="5" shapeId="0" xr:uid="{55E7CBA1-B3DA-4C32-A937-2D646A27FE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
-#14. Evaluation.
-#16. Impact.
</t>
      </text>
    </comment>
    <comment ref="D42" authorId="6" shapeId="0" xr:uid="{1FDB0826-4664-44EB-B378-9DA8EEC5E23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-#13. Timeline.
-#16. Impact.</t>
      </text>
    </comment>
    <comment ref="D43" authorId="7" shapeId="0" xr:uid="{06A0069B-76F5-4B71-A512-E4F37BAB3F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-#20. Leveraging.
Application Attachments to reference: 
-Attachment 7. Financial Documents (Audit &amp; Management Letters)
-Exhibit 7 – Sample Attestation of Financial Compliance
</t>
      </text>
    </comment>
    <comment ref="D46" authorId="8" shapeId="0" xr:uid="{5E7AA1ED-DD69-4831-AE25-8A12CAE50D2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-#16. Impact.
-SMC Only Question #2. Detailed scope of work</t>
      </text>
    </comment>
    <comment ref="D47" authorId="9" shapeId="0" xr:uid="{963FD30A-DF23-4905-A9B1-C2A81FEBC1C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-SMC Only Question #2. Detailed scope of work</t>
      </text>
    </comment>
    <comment ref="D48" authorId="10" shapeId="0" xr:uid="{B9F97FAE-F99C-4478-BA97-1DC2AD38E7C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-#14. Evaluation.
-#16. Impact.</t>
      </text>
    </comment>
    <comment ref="D49" authorId="11" shapeId="0" xr:uid="{74F64CF3-2CFC-4548-8489-21BC962EA4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-#15. Collaboration.
-SMC Only Question #2. Detailed scope of work. </t>
      </text>
    </comment>
    <comment ref="D50" authorId="12" shapeId="0" xr:uid="{8F856841-4113-4BD2-83A6-E56B76141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-#11. Project Specific Narrative.
-#15. Collaboration.
-#16. Impact.
-#20. Leveraging.
-SMC Only Question #2. Detailed scope of work. </t>
      </text>
    </comment>
    <comment ref="D52" authorId="13" shapeId="0" xr:uid="{EC6657A7-E75B-4EDE-9752-BBAF1D1727E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-#11. Project Specific Narrative.
-#16. Impact. 
-#17. Project Beneficiaries.
-#20. Leveraging.
-Proposed Budget Narrative (under Table)
Application Attachments for reference: 
-Budget Attachments</t>
      </text>
    </comment>
    <comment ref="D53" authorId="14" shapeId="0" xr:uid="{37D268D6-084E-463D-B624-95134B36B2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-SMC Only Question #2. Detailed scope of work.
Application Attachments for reference: 
-Budget Attachments</t>
      </text>
    </comment>
    <comment ref="D56" authorId="15" shapeId="0" xr:uid="{0045B251-D8EE-42EA-B80D-3F206075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
-Additional Funding Table (after SMC Only question #2)
Application Attachments for reference: 
-Budget Attachments</t>
      </text>
    </comment>
    <comment ref="D57" authorId="16" shapeId="0" xr:uid="{B13E6584-C94E-4C3D-AB46-9098962665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
</t>
      </text>
    </comment>
    <comment ref="D58" authorId="17" shapeId="0" xr:uid="{3887DD1E-60DF-4AE7-8860-9146CA84CF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
</t>
      </text>
    </comment>
    <comment ref="D59" authorId="18" shapeId="0" xr:uid="{213AFFE8-A474-4671-8CAE-C429BAB13A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</t>
      </text>
    </comment>
  </commentList>
</comments>
</file>

<file path=xl/sharedStrings.xml><?xml version="1.0" encoding="utf-8"?>
<sst xmlns="http://schemas.openxmlformats.org/spreadsheetml/2006/main" count="568" uniqueCount="264">
  <si>
    <t>Instructions</t>
  </si>
  <si>
    <t>1)</t>
  </si>
  <si>
    <r>
      <t xml:space="preserve">Complete both the </t>
    </r>
    <r>
      <rPr>
        <b/>
        <u/>
        <sz val="11"/>
        <color theme="1"/>
        <rFont val="Calibri"/>
        <family val="2"/>
        <scheme val="minor"/>
      </rPr>
      <t>Completion Checklist</t>
    </r>
    <r>
      <rPr>
        <sz val="11"/>
        <color theme="1"/>
        <rFont val="Calibri"/>
        <family val="2"/>
        <scheme val="minor"/>
      </rPr>
      <t xml:space="preserve"> and </t>
    </r>
    <r>
      <rPr>
        <b/>
        <u/>
        <sz val="11"/>
        <color theme="1"/>
        <rFont val="Calibri"/>
        <family val="2"/>
        <scheme val="minor"/>
      </rPr>
      <t>Scoring</t>
    </r>
    <r>
      <rPr>
        <sz val="11"/>
        <color theme="1"/>
        <rFont val="Calibri"/>
        <family val="2"/>
        <scheme val="minor"/>
      </rPr>
      <t xml:space="preserve"> tabs in this workbook. </t>
    </r>
  </si>
  <si>
    <t>a)</t>
  </si>
  <si>
    <r>
      <t xml:space="preserve">If this is Year 1 in the two-year NOFA cycle, use the </t>
    </r>
    <r>
      <rPr>
        <b/>
        <sz val="11"/>
        <color theme="1"/>
        <rFont val="Calibri"/>
        <family val="2"/>
        <scheme val="minor"/>
      </rPr>
      <t>Scoring - New App</t>
    </r>
    <r>
      <rPr>
        <sz val="11"/>
        <color theme="1"/>
        <rFont val="Calibri"/>
        <family val="2"/>
        <scheme val="minor"/>
      </rPr>
      <t xml:space="preserve"> tab  (hide/unhide tabs as needed)</t>
    </r>
  </si>
  <si>
    <t>b)</t>
  </si>
  <si>
    <r>
      <t xml:space="preserve">If this is Year 2 in the two-year NOFA cycle, use the </t>
    </r>
    <r>
      <rPr>
        <b/>
        <sz val="11"/>
        <color theme="1"/>
        <rFont val="Calibri"/>
        <family val="2"/>
        <scheme val="minor"/>
      </rPr>
      <t>Scoring - Renewal App</t>
    </r>
    <r>
      <rPr>
        <sz val="11"/>
        <color theme="1"/>
        <rFont val="Calibri"/>
        <family val="2"/>
        <scheme val="minor"/>
      </rPr>
      <t xml:space="preserve"> tab  (hide/unhide tabs as needed)</t>
    </r>
  </si>
  <si>
    <t>2)</t>
  </si>
  <si>
    <r>
      <t xml:space="preserve">Only cells in </t>
    </r>
    <r>
      <rPr>
        <b/>
        <u/>
        <sz val="11"/>
        <color theme="8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need to be filled, other cells will autopopulate.</t>
    </r>
  </si>
  <si>
    <t>Formulas</t>
  </si>
  <si>
    <t>Yes</t>
  </si>
  <si>
    <t>No</t>
  </si>
  <si>
    <t>DEPARTMENT OF HOUSING</t>
  </si>
  <si>
    <t>FY2021-2022 NOFA Review</t>
  </si>
  <si>
    <t>Public Service Scoring Sheet</t>
  </si>
  <si>
    <t>Project Information</t>
  </si>
  <si>
    <t>Public Services; Fair Housing; Micro-Enterprise Activities; Non-Profit Administered Minor Home Repair Programs Grants</t>
  </si>
  <si>
    <t xml:space="preserve">Applicant: </t>
  </si>
  <si>
    <t xml:space="preserve">Reviewed by: </t>
  </si>
  <si>
    <t>Project:</t>
  </si>
  <si>
    <t xml:space="preserve">Review Date: </t>
  </si>
  <si>
    <t>Amount Requested:</t>
  </si>
  <si>
    <t xml:space="preserve">Total Project Cost: </t>
  </si>
  <si>
    <t>Threshold Criteria</t>
  </si>
  <si>
    <t>NON-PROFIT ORGANIZATIONAL DOCUMENTS/ NOTES</t>
  </si>
  <si>
    <t>Resolution</t>
  </si>
  <si>
    <t>Authorizing Application Submission</t>
  </si>
  <si>
    <t>Designating Person to Execute County Agt(s)</t>
  </si>
  <si>
    <t>Non-Profit Status - Date of IRS Letter:________</t>
  </si>
  <si>
    <t>Corporate By-laws</t>
  </si>
  <si>
    <t>Articles of Incorporation</t>
  </si>
  <si>
    <t>Board Roster</t>
  </si>
  <si>
    <t>List of Board Directors</t>
  </si>
  <si>
    <t>Board Dates (the last 12 months)</t>
  </si>
  <si>
    <t>Organizational Chart</t>
  </si>
  <si>
    <t>Audit Year Submitted: _________</t>
  </si>
  <si>
    <t>Single Audit</t>
  </si>
  <si>
    <t>Certification Letter (did not spend over $750,000 fed.)</t>
  </si>
  <si>
    <t xml:space="preserve">Debarment check www.sam.gov </t>
  </si>
  <si>
    <t>Application Documents</t>
  </si>
  <si>
    <t>Application</t>
  </si>
  <si>
    <t>A-1 Current Agency Operating Budget</t>
  </si>
  <si>
    <t>Publ</t>
  </si>
  <si>
    <t>Summary</t>
  </si>
  <si>
    <t xml:space="preserve">Score: </t>
  </si>
  <si>
    <t>Recommendation for Project Funding:</t>
  </si>
  <si>
    <t>Funding Recommendation Summary Comments:</t>
  </si>
  <si>
    <t>A)</t>
  </si>
  <si>
    <t>Threshold Criteria (Yes/No)</t>
  </si>
  <si>
    <t>Comments:</t>
  </si>
  <si>
    <t>Application received on time</t>
  </si>
  <si>
    <t>Application complete</t>
  </si>
  <si>
    <t>Project is eligible for CDBG, HOME or ESG funding</t>
  </si>
  <si>
    <t>Project applicant is in good standing</t>
  </si>
  <si>
    <t>Satisfactory performance in meeting project goals</t>
  </si>
  <si>
    <t>Timely submission of all required documentation</t>
  </si>
  <si>
    <t>No unresolved monitoring findings</t>
  </si>
  <si>
    <t>B)</t>
  </si>
  <si>
    <t>Application meets CDBG national objective of Benefit to Low Income Persons/Households (Check Appropriate Box):</t>
  </si>
  <si>
    <t xml:space="preserve"> Services to Presumed Benefit Group:      </t>
  </si>
  <si>
    <t xml:space="preserve"> Services to Low Income (General)</t>
  </si>
  <si>
    <t xml:space="preserve"> Removal of architectural barriers to seniors/severely disabled adults</t>
  </si>
  <si>
    <t xml:space="preserve"> Minor home repairs</t>
  </si>
  <si>
    <t>C)</t>
  </si>
  <si>
    <t>How will applicant verify client income/presumed benefit status?</t>
  </si>
  <si>
    <t>Scoring</t>
  </si>
  <si>
    <r>
      <t>Instructions to Reviewer: Please provide a score of 0, 1, 2 or 3 for each element within the overall criteria. The total score for each criterion is an average of all the sub-scores. Please explain any score of 0 or 1 in the comment section.</t>
    </r>
    <r>
      <rPr>
        <b/>
        <i/>
        <sz val="11"/>
        <color theme="1"/>
        <rFont val="Calibri"/>
        <family val="2"/>
        <scheme val="minor"/>
      </rPr>
      <t xml:space="preserve"> Maximum score is 15.</t>
    </r>
  </si>
  <si>
    <t>Funding Priority</t>
  </si>
  <si>
    <t>Comments</t>
  </si>
  <si>
    <t>Score:</t>
  </si>
  <si>
    <t>a.</t>
  </si>
  <si>
    <t>What priority does project meet or need?</t>
  </si>
  <si>
    <t>b.</t>
  </si>
  <si>
    <t>Who is program targeting?</t>
  </si>
  <si>
    <t>c.</t>
  </si>
  <si>
    <t>What is applicant proposing?</t>
  </si>
  <si>
    <t>d.</t>
  </si>
  <si>
    <t>Specific role?</t>
  </si>
  <si>
    <t>Sponsor Capacity / Capabilities</t>
  </si>
  <si>
    <t>What is experience of applicant in performing proposed services?</t>
  </si>
  <si>
    <t>What is applicant’s ability to measure the need/impact of services?</t>
  </si>
  <si>
    <t>Is organization fiscally and programmatically stable? How so?</t>
  </si>
  <si>
    <t xml:space="preserve">3) </t>
  </si>
  <si>
    <t>Project Feasibility/Readiness</t>
  </si>
  <si>
    <t>Is this an on-going program already in existence or a new program? (see scoring rubric)</t>
  </si>
  <si>
    <t>If new, when will program operations begin? (see scoring rubric)</t>
  </si>
  <si>
    <t>If on-going program or continuing application, what is history of CDBG funding for this program?</t>
  </si>
  <si>
    <t>How will program be administered? Outreach? Any partnerships/collaborations with other agencies?</t>
  </si>
  <si>
    <t>e.</t>
  </si>
  <si>
    <t>Any issues with this program?</t>
  </si>
  <si>
    <t>f.</t>
  </si>
  <si>
    <t>Any unique, innovative, unusual or complex aspects in proposal?</t>
  </si>
  <si>
    <t xml:space="preserve">4) </t>
  </si>
  <si>
    <t>Cost Effectiveness</t>
  </si>
  <si>
    <t>Is total unit cost of service (service cost per client) reasonable?</t>
  </si>
  <si>
    <t>Is percentage of County request to total cost of service reasonable?</t>
  </si>
  <si>
    <t>Use of County Funds? (see scoring rubric)</t>
  </si>
  <si>
    <t xml:space="preserve">5) </t>
  </si>
  <si>
    <t>Leveraging</t>
  </si>
  <si>
    <t>What other funds are proposed/committed to project?</t>
  </si>
  <si>
    <t>What is probability that applicant will be successful in getting funding commitments?</t>
  </si>
  <si>
    <t>What is timeframe for securing other funds?</t>
  </si>
  <si>
    <t>Questions to Applicant or Conditions of Funding:</t>
  </si>
  <si>
    <t xml:space="preserve">Recommendation for Project Funding (Yes / No / Maybe):   </t>
  </si>
  <si>
    <t>     </t>
  </si>
  <si>
    <t>Document Review Sheet</t>
  </si>
  <si>
    <t>FY2026-27 NOFA Review</t>
  </si>
  <si>
    <t>Reviewer Name:</t>
  </si>
  <si>
    <t xml:space="preserve">Text Key </t>
  </si>
  <si>
    <t>Date Reviewed:</t>
  </si>
  <si>
    <r>
      <rPr>
        <i/>
        <sz val="10"/>
        <color rgb="FF000000"/>
        <rFont val="Calibri"/>
      </rPr>
      <t xml:space="preserve">Utilize </t>
    </r>
    <r>
      <rPr>
        <b/>
        <i/>
        <sz val="10"/>
        <color rgb="FFFF0000"/>
        <rFont val="Calibri"/>
      </rPr>
      <t>Red text</t>
    </r>
    <r>
      <rPr>
        <i/>
        <sz val="10"/>
        <color rgb="FF000000"/>
        <rFont val="Calibri"/>
      </rPr>
      <t xml:space="preserve">, </t>
    </r>
    <r>
      <rPr>
        <b/>
        <i/>
        <sz val="10"/>
        <color rgb="FFFFC000"/>
        <rFont val="Calibri"/>
      </rPr>
      <t>Orange text</t>
    </r>
    <r>
      <rPr>
        <i/>
        <sz val="10"/>
        <color rgb="FF000000"/>
        <rFont val="Calibri"/>
      </rPr>
      <t xml:space="preserve">, or </t>
    </r>
    <r>
      <rPr>
        <b/>
        <i/>
        <sz val="10"/>
        <color rgb="FF000000"/>
        <rFont val="Calibri"/>
      </rPr>
      <t>Black text</t>
    </r>
    <r>
      <rPr>
        <i/>
        <sz val="10"/>
        <color rgb="FF000000"/>
        <rFont val="Calibri"/>
      </rPr>
      <t xml:space="preserve"> in Column 'H' to flag any notes or comments</t>
    </r>
  </si>
  <si>
    <t>Applicant Name:</t>
  </si>
  <si>
    <t>Item Missing or Issue with Submitted Document</t>
  </si>
  <si>
    <t>Project Name:</t>
  </si>
  <si>
    <t>Possible Issue with Document</t>
  </si>
  <si>
    <t xml:space="preserve">Applicant Type (Non-Profit, Public Entity): </t>
  </si>
  <si>
    <t>General Notes</t>
  </si>
  <si>
    <t>Attachments</t>
  </si>
  <si>
    <t>Included? (Yes/No)</t>
  </si>
  <si>
    <t>Instructions for Document Review</t>
  </si>
  <si>
    <t>Comments or Concerns to Note</t>
  </si>
  <si>
    <r>
      <t xml:space="preserve">Make sure </t>
    </r>
    <r>
      <rPr>
        <i/>
        <sz val="11"/>
        <color rgb="FFFF0000"/>
        <rFont val="Arial"/>
        <family val="2"/>
      </rPr>
      <t>updated</t>
    </r>
    <r>
      <rPr>
        <i/>
        <sz val="11"/>
        <color rgb="FF000000"/>
        <rFont val="Arial"/>
        <family val="2"/>
      </rPr>
      <t xml:space="preserve"> documents are attached </t>
    </r>
  </si>
  <si>
    <t xml:space="preserve">1.) Resolution authorizing application and designation of signatory, by the Board of Directors </t>
  </si>
  <si>
    <r>
      <t xml:space="preserve"> </t>
    </r>
    <r>
      <rPr>
        <sz val="10"/>
        <color theme="1"/>
        <rFont val="Arial"/>
        <family val="2"/>
        <charset val="1"/>
      </rPr>
      <t>Authorizing Application Submission</t>
    </r>
  </si>
  <si>
    <t xml:space="preserve">This can be one or two separate resolutions. Must state they are allowed to apply and who can sign the agreement. </t>
  </si>
  <si>
    <r>
      <t xml:space="preserve"> </t>
    </r>
    <r>
      <rPr>
        <sz val="10"/>
        <color theme="1"/>
        <rFont val="Arial"/>
        <family val="2"/>
        <charset val="1"/>
      </rPr>
      <t>Designating Person to Execute County Agreements</t>
    </r>
  </si>
  <si>
    <t xml:space="preserve"> </t>
  </si>
  <si>
    <t xml:space="preserve">2.) Proof of 501(c)3 / tax-exempt status (Non-Profit Status)  </t>
  </si>
  <si>
    <t xml:space="preserve">Type in EIN # here: </t>
  </si>
  <si>
    <t>3.) By-laws</t>
  </si>
  <si>
    <t xml:space="preserve">Organization, Non-Profit; or City by-laws. </t>
  </si>
  <si>
    <t>4.) Articles of Incorporation</t>
  </si>
  <si>
    <t>Confirm the organization's name on the document.</t>
  </si>
  <si>
    <t>5.) Board Roster - including the following:</t>
  </si>
  <si>
    <t>Board of Directors information (Names, roles, etc)</t>
  </si>
  <si>
    <t>Name, Company, Years on Board</t>
  </si>
  <si>
    <t>Meeting dates for previous 12 months</t>
  </si>
  <si>
    <t>Number of years allowed for each Board Term</t>
  </si>
  <si>
    <r>
      <t xml:space="preserve">6.) Organizational chart </t>
    </r>
    <r>
      <rPr>
        <b/>
        <i/>
        <sz val="10"/>
        <color theme="1"/>
        <rFont val="Arial"/>
        <family val="2"/>
      </rPr>
      <t>for the entire organization (not just the project</t>
    </r>
    <r>
      <rPr>
        <b/>
        <sz val="10"/>
        <color theme="1"/>
        <rFont val="Arial"/>
        <family val="2"/>
      </rPr>
      <t>)</t>
    </r>
  </si>
  <si>
    <t>Staff name and roles should be identifiable. Okay to have just position roles due to staff turnover.</t>
  </si>
  <si>
    <t>7.) Financial Documents</t>
  </si>
  <si>
    <t>Review Slide #7 for example: Funding Team 1.5.26</t>
  </si>
  <si>
    <t>Certified financial audit no more than one (1) fiscal year old, prepared by a CPA</t>
  </si>
  <si>
    <t>Management letters</t>
  </si>
  <si>
    <t>8.) Federal Single Audit:  2 CFR Part 200, Subpart F Single Audit (for entities that expend more than $1M in Federal funding)</t>
  </si>
  <si>
    <t> </t>
  </si>
  <si>
    <t xml:space="preserve">Document must be dated after July 1, 2024 or the organization must submit another form of proof (e.g., cover letter, explanation, etc.). </t>
  </si>
  <si>
    <t>Review Slide #8 for example: Funding Team 1.5.26</t>
  </si>
  <si>
    <r>
      <rPr>
        <b/>
        <sz val="10"/>
        <color rgb="FF000000"/>
        <rFont val="Arial"/>
      </rPr>
      <t>OR</t>
    </r>
    <r>
      <rPr>
        <sz val="10"/>
        <color rgb="FF000000"/>
        <rFont val="Arial"/>
      </rPr>
      <t xml:space="preserve"> a letter from the Executive Director or Corporate Financial Officer certifying that agency does not expend more than $1M in Federal funds and is not subject to the Single Audit Requirement. (i.e., Cert for No Single Audit)</t>
    </r>
  </si>
  <si>
    <r>
      <t>Exhibit 2 - 'Cert for No Single Audit</t>
    </r>
    <r>
      <rPr>
        <i/>
        <sz val="10"/>
        <rFont val="Arial"/>
        <family val="2"/>
      </rPr>
      <t>'</t>
    </r>
    <r>
      <rPr>
        <i/>
        <sz val="10"/>
        <color theme="1"/>
        <rFont val="Arial"/>
        <family val="2"/>
      </rPr>
      <t xml:space="preserve"> doc completed, signed and submitted?</t>
    </r>
  </si>
  <si>
    <t>Audit Rev. comments</t>
  </si>
  <si>
    <r>
      <t>List all audit comments (if any) in Column H in</t>
    </r>
    <r>
      <rPr>
        <b/>
        <i/>
        <sz val="10"/>
        <color theme="1"/>
        <rFont val="Arial"/>
        <family val="2"/>
      </rPr>
      <t xml:space="preserve"> Black text</t>
    </r>
    <r>
      <rPr>
        <i/>
        <sz val="10"/>
        <color theme="1"/>
        <rFont val="Arial"/>
        <family val="2"/>
      </rPr>
      <t xml:space="preserve">. </t>
    </r>
  </si>
  <si>
    <t>9.) Budgets</t>
  </si>
  <si>
    <t xml:space="preserve">Check for completeness of 'Proposed Program Budget for FY 2026-27' Table in application (after item #20) and compare to attachment. </t>
  </si>
  <si>
    <r>
      <t xml:space="preserve">Current (FY25-26) </t>
    </r>
    <r>
      <rPr>
        <b/>
        <sz val="10"/>
        <color theme="1"/>
        <rFont val="Arial"/>
        <family val="2"/>
      </rPr>
      <t>Agency</t>
    </r>
    <r>
      <rPr>
        <sz val="10"/>
        <color theme="1"/>
        <rFont val="Arial"/>
        <family val="2"/>
        <charset val="1"/>
      </rPr>
      <t xml:space="preserve"> Operating Budget</t>
    </r>
  </si>
  <si>
    <r>
      <t xml:space="preserve">Proposed (FY26-27) </t>
    </r>
    <r>
      <rPr>
        <b/>
        <sz val="10"/>
        <color theme="1"/>
        <rFont val="Arial"/>
        <family val="2"/>
      </rPr>
      <t>Agency</t>
    </r>
    <r>
      <rPr>
        <sz val="10"/>
        <color theme="1"/>
        <rFont val="Arial"/>
        <family val="2"/>
        <charset val="1"/>
      </rPr>
      <t xml:space="preserve"> Operating Budget</t>
    </r>
  </si>
  <si>
    <r>
      <t xml:space="preserve">Current (FY25-26) </t>
    </r>
    <r>
      <rPr>
        <b/>
        <sz val="10"/>
        <color theme="1"/>
        <rFont val="Arial"/>
        <family val="2"/>
      </rPr>
      <t>Program</t>
    </r>
    <r>
      <rPr>
        <sz val="10"/>
        <color theme="1"/>
        <rFont val="Arial"/>
        <family val="2"/>
        <charset val="1"/>
      </rPr>
      <t xml:space="preserve"> Operating Budget</t>
    </r>
  </si>
  <si>
    <t>10.) Mission Statement</t>
  </si>
  <si>
    <t>11.) Non-discrimination policy for Staff and Clients</t>
  </si>
  <si>
    <t>12.) Reasonable Accommodations Policy for Staff and Clients</t>
  </si>
  <si>
    <t>13.) Conflict of Interest Policy</t>
  </si>
  <si>
    <t>14.) Negotiated Rate Letter (if applicable)</t>
  </si>
  <si>
    <t>15.) Required Exhibits (For all SMC Apps)</t>
  </si>
  <si>
    <t>Exhibit 5: Governing Body Description</t>
  </si>
  <si>
    <t>Exhibit 5 attachment should address the 5 questions listed in Page #21 in the Comm Dev NOFA Guideline.</t>
  </si>
  <si>
    <t>Exhibit 6: Position Bios</t>
  </si>
  <si>
    <t>Exhibit 6 attachment should address the 'Requested Information' listed in Page #22 in the Comm Dev NOFA Guideline.</t>
  </si>
  <si>
    <t>Exhibit 7: Sample Attestation of Financial Compliance</t>
  </si>
  <si>
    <t>Exhibit 7 attachment should be completed and signed with sample language provided in Page #23 in the Comm Dev NOFA Guideline.</t>
  </si>
  <si>
    <t>16.) Other</t>
  </si>
  <si>
    <r>
      <t xml:space="preserve">Please list name of document/attachments submitted (if applicable) in Column H </t>
    </r>
    <r>
      <rPr>
        <b/>
        <i/>
        <sz val="10"/>
        <color theme="1"/>
        <rFont val="Arial"/>
        <family val="2"/>
      </rPr>
      <t>Black text</t>
    </r>
    <r>
      <rPr>
        <i/>
        <sz val="10"/>
        <color theme="1"/>
        <rFont val="Arial"/>
        <family val="2"/>
      </rPr>
      <t xml:space="preserve">. </t>
    </r>
  </si>
  <si>
    <r>
      <t>Public Agency organizational documents and notes -</t>
    </r>
    <r>
      <rPr>
        <b/>
        <u/>
        <sz val="10"/>
        <color rgb="FF000000"/>
        <rFont val="Arial"/>
        <family val="2"/>
      </rPr>
      <t xml:space="preserve"> </t>
    </r>
    <r>
      <rPr>
        <b/>
        <i/>
        <u/>
        <sz val="10"/>
        <color rgb="FFFF0000"/>
        <rFont val="Arial"/>
        <family val="2"/>
      </rPr>
      <t>ONLY for Cities, Towns, and other County Departments</t>
    </r>
  </si>
  <si>
    <t>Included?</t>
  </si>
  <si>
    <t>Notes</t>
  </si>
  <si>
    <t xml:space="preserve"> Designating Person to Execute County Agreements</t>
  </si>
  <si>
    <t xml:space="preserve"> Audit (cannot be more than 1 fiscal year old)</t>
  </si>
  <si>
    <t>Year submitted:</t>
  </si>
  <si>
    <t>Type of Audit:</t>
  </si>
  <si>
    <t xml:space="preserve"> Single Audit</t>
  </si>
  <si>
    <t xml:space="preserve"> Cert. Letter (did not spend &gt;$1M federal)</t>
  </si>
  <si>
    <t xml:space="preserve">Debarment Check:  www.sam.gov </t>
  </si>
  <si>
    <t>Pass or Fail?</t>
  </si>
  <si>
    <t>Additional Comments</t>
  </si>
  <si>
    <t>FY2026-27 NOFA REVIEW</t>
  </si>
  <si>
    <t xml:space="preserve">Public Services Scoring Sheet </t>
  </si>
  <si>
    <t>PROJECT INFORMATION</t>
  </si>
  <si>
    <t>Public Services; Fair Housing; Micro-Enterprise Activities</t>
  </si>
  <si>
    <t xml:space="preserve">Reviewed By: </t>
  </si>
  <si>
    <t>Total Clients Served:</t>
  </si>
  <si>
    <t>Use number of households</t>
  </si>
  <si>
    <r>
      <rPr>
        <b/>
        <sz val="12"/>
        <color rgb="FF000000"/>
        <rFont val="Calibri"/>
      </rPr>
      <t xml:space="preserve">Project Description:
</t>
    </r>
    <r>
      <rPr>
        <sz val="10"/>
        <color rgb="FFFF0000"/>
        <rFont val="Calibri"/>
      </rPr>
      <t>Include the Priority Need being Addressed</t>
    </r>
  </si>
  <si>
    <t>Recommendation Summary</t>
  </si>
  <si>
    <t>Total Score:</t>
  </si>
  <si>
    <r>
      <rPr>
        <b/>
        <sz val="12"/>
        <color rgb="FF000000"/>
        <rFont val="Calibri"/>
        <scheme val="minor"/>
      </rPr>
      <t>Recommendation for Project Funding</t>
    </r>
    <r>
      <rPr>
        <sz val="12"/>
        <color rgb="FF000000"/>
        <rFont val="Calibri"/>
        <scheme val="minor"/>
      </rPr>
      <t xml:space="preserve"> </t>
    </r>
    <r>
      <rPr>
        <i/>
        <sz val="12"/>
        <color rgb="FFFF0000"/>
        <rFont val="Calibri"/>
        <scheme val="minor"/>
      </rPr>
      <t>(Yes or No)</t>
    </r>
    <r>
      <rPr>
        <sz val="12"/>
        <color rgb="FF000000"/>
        <rFont val="Calibri"/>
        <scheme val="minor"/>
      </rPr>
      <t>:</t>
    </r>
  </si>
  <si>
    <r>
      <rPr>
        <b/>
        <sz val="12"/>
        <color rgb="FF000000"/>
        <rFont val="Calibri"/>
      </rPr>
      <t xml:space="preserve">Recommended Funding Source:
</t>
    </r>
    <r>
      <rPr>
        <i/>
        <sz val="12"/>
        <color rgb="FFFF0000"/>
        <rFont val="Calibri"/>
      </rPr>
      <t>CDBG for Fair Housing, and everything else except 
shelters and rapid rehousing (RRH), which are funded by ESG</t>
    </r>
    <r>
      <rPr>
        <sz val="12"/>
        <color rgb="FF000000"/>
        <rFont val="Calibri"/>
      </rPr>
      <t xml:space="preserve"> </t>
    </r>
  </si>
  <si>
    <r>
      <rPr>
        <b/>
        <sz val="12"/>
        <color rgb="FF000000"/>
        <rFont val="Calibri"/>
        <scheme val="minor"/>
      </rPr>
      <t xml:space="preserve">Funding Recommendation Summary Comments:
</t>
    </r>
    <r>
      <rPr>
        <i/>
        <sz val="12"/>
        <color rgb="FFFF0000"/>
        <rFont val="Calibri"/>
        <scheme val="minor"/>
      </rPr>
      <t>Please note any concerns, proposal deficiencies, proposal highlights, etc.</t>
    </r>
  </si>
  <si>
    <r>
      <rPr>
        <b/>
        <sz val="12"/>
        <color rgb="FF000000"/>
        <rFont val="Calibri"/>
        <scheme val="minor"/>
      </rPr>
      <t xml:space="preserve">Threshold Criteria </t>
    </r>
    <r>
      <rPr>
        <i/>
        <sz val="12"/>
        <color rgb="FFFF0000"/>
        <rFont val="Calibri"/>
        <scheme val="minor"/>
      </rPr>
      <t>(Toggle Yes/No)</t>
    </r>
  </si>
  <si>
    <t>All applications to be reviewed meet this threshold criteria</t>
  </si>
  <si>
    <t>Submitted by an eligible applicant for an eligible activity</t>
  </si>
  <si>
    <t>Are they open to receiving State/Federal ESG or PLHA funding instead of CDBG?</t>
  </si>
  <si>
    <t>Within 48 hours of emailed request</t>
  </si>
  <si>
    <t xml:space="preserve">Are all fields filled in and complete? </t>
  </si>
  <si>
    <t xml:space="preserve">  If not, note which items are missing or are incomplete</t>
  </si>
  <si>
    <t>1.   </t>
  </si>
  <si>
    <t>2.   </t>
  </si>
  <si>
    <t>3.   </t>
  </si>
  <si>
    <t xml:space="preserve">C) </t>
  </si>
  <si>
    <t xml:space="preserve">Does the application meet CDBG national objective of Benefit to Low Income Persons/Households (Check Appropriate Box): </t>
  </si>
  <si>
    <r>
      <t xml:space="preserve">Services to Presumed Benefit Group </t>
    </r>
    <r>
      <rPr>
        <i/>
        <sz val="12"/>
        <color rgb="FFFF0000"/>
        <rFont val="Calibri"/>
        <scheme val="minor"/>
      </rPr>
      <t>(definition at right)</t>
    </r>
    <r>
      <rPr>
        <sz val="12"/>
        <color rgb="FF000000"/>
        <rFont val="Calibri"/>
        <scheme val="minor"/>
      </rPr>
      <t>:      </t>
    </r>
  </si>
  <si>
    <t>Target population(s):</t>
  </si>
  <si>
    <r>
      <rPr>
        <b/>
        <i/>
        <sz val="11"/>
        <color rgb="FF000000"/>
        <rFont val="Calibri"/>
      </rPr>
      <t>Presumed Benefit groups</t>
    </r>
    <r>
      <rPr>
        <sz val="11"/>
        <color rgb="FF000000"/>
        <rFont val="Calibri"/>
      </rPr>
      <t>: abused children, battered spouses, elderly persons, severely disabled adults, homeless persons, illiterate adults, persons living with AIDS and migrant farm workers</t>
    </r>
  </si>
  <si>
    <t>Does the project focus on persons experiencing homelessness and/or ELI individuals (≤30% AMI)?</t>
  </si>
  <si>
    <t>Services to Low Income (General)</t>
  </si>
  <si>
    <t>Improvement is limited to removal of architectural barriers to seniors (62+)/severely disabled adults</t>
  </si>
  <si>
    <t>Minor Home Repairs</t>
  </si>
  <si>
    <r>
      <rPr>
        <i/>
        <sz val="12"/>
        <color rgb="FF000000"/>
        <rFont val="Calibri"/>
        <scheme val="minor"/>
      </rPr>
      <t xml:space="preserve">East Palo Alto? </t>
    </r>
    <r>
      <rPr>
        <b/>
        <sz val="12"/>
        <color rgb="FF000000"/>
        <rFont val="Calibri"/>
        <scheme val="minor"/>
      </rPr>
      <t xml:space="preserve"> YES / NO</t>
    </r>
  </si>
  <si>
    <t>Fair Housing</t>
  </si>
  <si>
    <t xml:space="preserve">D) </t>
  </si>
  <si>
    <r>
      <rPr>
        <b/>
        <sz val="12"/>
        <color rgb="FF444444"/>
        <rFont val="Calibri"/>
      </rPr>
      <t xml:space="preserve">How will applicant verify client income/presumed benefit status? </t>
    </r>
    <r>
      <rPr>
        <sz val="12"/>
        <color rgb="FF444444"/>
        <rFont val="Calibri"/>
      </rPr>
      <t>(please note in your Comments on Row 21 if they plan on using self-certification)</t>
    </r>
  </si>
  <si>
    <r>
      <rPr>
        <i/>
        <sz val="11"/>
        <color rgb="FFFF0000"/>
        <rFont val="Calibri"/>
      </rPr>
      <t xml:space="preserve">Instructions to Reviewer: Please provide a score of 0, 1, 2 or 3 for each element within the overall criteria. The total score for each criterion is an average of all the sub-scores.
</t>
    </r>
    <r>
      <rPr>
        <b/>
        <i/>
        <sz val="11"/>
        <color rgb="FFFF0000"/>
        <rFont val="Calibri"/>
      </rPr>
      <t>Maximum score is 15.</t>
    </r>
  </si>
  <si>
    <t>Scoring Key</t>
  </si>
  <si>
    <t>Below Standard - Does not meet basic requirements</t>
  </si>
  <si>
    <t>Please explain any score of 0 or 1 in the Comments section on Row 21.</t>
  </si>
  <si>
    <r>
      <rPr>
        <sz val="14"/>
        <color rgb="FF000000"/>
        <rFont val="Calibri"/>
        <scheme val="minor"/>
      </rPr>
      <t xml:space="preserve">Weak - Lacks vital information </t>
    </r>
    <r>
      <rPr>
        <i/>
        <sz val="11"/>
        <color rgb="FFFF0000"/>
        <rFont val="Calibri"/>
        <scheme val="minor"/>
      </rPr>
      <t>(please note what is lacking)</t>
    </r>
  </si>
  <si>
    <t>Satisfactory - Meets basic requirements</t>
  </si>
  <si>
    <t xml:space="preserve">Strong - Exceeds basic requirements </t>
  </si>
  <si>
    <t>Funding Priority (click link to review)</t>
  </si>
  <si>
    <t>NOTES ABOUT SCORING</t>
  </si>
  <si>
    <t>Which County priority does project meet or need?</t>
  </si>
  <si>
    <r>
      <rPr>
        <sz val="11"/>
        <color rgb="FF000000"/>
        <rFont val="Calibri"/>
      </rPr>
      <t xml:space="preserve">0 - The project does </t>
    </r>
    <r>
      <rPr>
        <u/>
        <sz val="11"/>
        <color rgb="FF000000"/>
        <rFont val="Calibri"/>
      </rPr>
      <t>not</t>
    </r>
    <r>
      <rPr>
        <sz val="11"/>
        <color rgb="FF000000"/>
        <rFont val="Calibri"/>
      </rPr>
      <t xml:space="preserve"> meet a County priority.
3 - The project </t>
    </r>
    <r>
      <rPr>
        <u/>
        <sz val="11"/>
        <color rgb="FF000000"/>
        <rFont val="Calibri"/>
      </rPr>
      <t>does</t>
    </r>
    <r>
      <rPr>
        <sz val="11"/>
        <color rgb="FF000000"/>
        <rFont val="Calibri"/>
      </rPr>
      <t xml:space="preserve"> meet a County priority.</t>
    </r>
  </si>
  <si>
    <t>What population is the program targeting?</t>
  </si>
  <si>
    <t>3 for ELI
2 for ELI to VLI
1 for VLI to Moderate
0 for moderate income</t>
  </si>
  <si>
    <t>Applicant / Sponsor Capacity and Capabilities</t>
  </si>
  <si>
    <r>
      <rPr>
        <sz val="12"/>
        <color rgb="FF000000"/>
        <rFont val="Calibri"/>
      </rPr>
      <t xml:space="preserve">What is experience/capacity of applicant in performing and undertaking proposed services/work?
</t>
    </r>
    <r>
      <rPr>
        <i/>
        <sz val="11"/>
        <color rgb="FFFF0000"/>
        <rFont val="Calibri"/>
      </rPr>
      <t>(Application Response to #14)</t>
    </r>
  </si>
  <si>
    <t>0 if they have no demonstrated positive outcomes (i.e., housing homeless clients) with this type of project/work or have missed performance targets by more than 50% in previous County funded projects
1 or 2 if they have demonstrated positive outcomes with related work or if they have met 50-75% of performance targets in previous projects; New applicants will likely be scored at 1 or 2.
3 if they have a demonstrated positive outcomes with this exact project type and have met 75%+ performance targets</t>
  </si>
  <si>
    <t xml:space="preserve">  b.</t>
  </si>
  <si>
    <r>
      <rPr>
        <sz val="11"/>
        <color rgb="FF000000"/>
        <rFont val="Calibri"/>
        <scheme val="minor"/>
      </rPr>
      <t xml:space="preserve">0 if they have no process/ability
1 or 2 if they have </t>
    </r>
    <r>
      <rPr>
        <i/>
        <sz val="11"/>
        <color rgb="FF000000"/>
        <rFont val="Calibri"/>
        <scheme val="minor"/>
      </rPr>
      <t xml:space="preserve">some
</t>
    </r>
    <r>
      <rPr>
        <sz val="11"/>
        <color rgb="FF000000"/>
        <rFont val="Calibri"/>
        <scheme val="minor"/>
      </rPr>
      <t>3 if they have a very well defined process/ability</t>
    </r>
  </si>
  <si>
    <t xml:space="preserve">c. </t>
  </si>
  <si>
    <t>What is the applicant's ability to complete administrative requirements (e.g., QPRs, CDS / HMIS data entry)?</t>
  </si>
  <si>
    <t>0 if they have no direct or related experience
1 if they have direct experience that is not good or if they have related experience
2 if they have direct experience that is OK
3 if they have direct and positive experience</t>
  </si>
  <si>
    <r>
      <rPr>
        <sz val="12"/>
        <color rgb="FF000000"/>
        <rFont val="Calibri"/>
        <scheme val="minor"/>
      </rPr>
      <t xml:space="preserve">Is organization fiscally and programmatically stable? How so?
</t>
    </r>
    <r>
      <rPr>
        <i/>
        <sz val="11"/>
        <color rgb="FFFF0000"/>
        <rFont val="Calibri"/>
        <scheme val="minor"/>
      </rPr>
      <t>(Review Exhibit 7 in the NOFA.)</t>
    </r>
  </si>
  <si>
    <t>0 if there are concerns in their audit
1 or 2 if they seem to be operating based on their reserves
3 if their income matches or exceeds annual expenses</t>
  </si>
  <si>
    <t>Is this an on-going program already in existence or a new program?</t>
  </si>
  <si>
    <t>0 if not yet launched
1 if launched within past 3 months
2 if launched within past 6 months
3 if launched 7+ months ago</t>
  </si>
  <si>
    <t xml:space="preserve">If new, when will program operations begin? </t>
  </si>
  <si>
    <t>0 if it will start after Oct 1, 2026
1 if it will start by Sep 1, 2026
2 if it will start by Aug 15, 2026
3 if it will start by July 2026 or is an ongoing project</t>
  </si>
  <si>
    <t>If this is an on-going program or continuing application, have they received CDBG / County funding for this program in the past?</t>
  </si>
  <si>
    <t>0 if they have never received County support of any kind
1 if they have received local support from a city
2 if they have received federal support from another city/county
3 if they have received San Mateo County support</t>
  </si>
  <si>
    <t>0 if done alone
1 or 2 if done in partnership/collaboration with at least 1-2 other entities
3 if done with an ecosystem of partners/collaborators</t>
  </si>
  <si>
    <t>Are they any unique, unusual or complex features/elements in the proposal, which may impede its success (score as 0 or 1) and/or will contribute to its success/impact (score as 2 or 3)?</t>
  </si>
  <si>
    <r>
      <rPr>
        <sz val="12"/>
        <color rgb="FF000000"/>
        <rFont val="Calibri"/>
      </rPr>
      <t xml:space="preserve">Is total unit cost of service (service cost per household served) reasonable?
</t>
    </r>
    <r>
      <rPr>
        <i/>
        <sz val="11"/>
        <color rgb="FFFF0000"/>
        <rFont val="Calibri"/>
      </rPr>
      <t>This is somewhat subjective/project specific.</t>
    </r>
  </si>
  <si>
    <r>
      <rPr>
        <sz val="11"/>
        <color rgb="FF000000"/>
        <rFont val="Calibri"/>
        <scheme val="minor"/>
      </rPr>
      <t xml:space="preserve">0 if it does not seem reasonable
3 if it seems very reasonable
</t>
    </r>
    <r>
      <rPr>
        <i/>
        <sz val="11"/>
        <color rgb="FFFF0000"/>
        <rFont val="Calibri"/>
        <scheme val="minor"/>
      </rPr>
      <t>*Please use comments to explain your rating.</t>
    </r>
  </si>
  <si>
    <r>
      <rPr>
        <sz val="12"/>
        <color rgb="FF000000"/>
        <rFont val="Calibri"/>
        <scheme val="minor"/>
      </rPr>
      <t xml:space="preserve">How was costing done?
</t>
    </r>
    <r>
      <rPr>
        <i/>
        <sz val="11"/>
        <color rgb="FFFF0000"/>
        <rFont val="Calibri"/>
        <scheme val="minor"/>
      </rPr>
      <t>(SMC only section, Response to #2)</t>
    </r>
  </si>
  <si>
    <t>XX</t>
  </si>
  <si>
    <t>For reference only, not scored</t>
  </si>
  <si>
    <t>Review the total number of people served by the entire program. Did the applicant provide a thorough narrative that explains their costing methodology?</t>
  </si>
  <si>
    <t xml:space="preserve">List: </t>
  </si>
  <si>
    <t>What is the timeframe for securing other funds?</t>
  </si>
  <si>
    <t>0 if it is unclear
1 or 2 if it seems relatively soon (within 6 months)
3 if there is evidence that it will be received prior to 6 months from now</t>
  </si>
  <si>
    <t>What is probability that applicant will be successful in securing funding commitments?</t>
  </si>
  <si>
    <t>0 if you believe it is unlikely
1 or 2 if it seems relatively likely
3 if there is evidence that it is highly probable</t>
  </si>
  <si>
    <r>
      <rPr>
        <sz val="12"/>
        <color rgb="FF000000"/>
        <rFont val="Calibri"/>
        <scheme val="minor"/>
      </rPr>
      <t xml:space="preserve">Is percentage of County request to total cost of service reasonable?
</t>
    </r>
    <r>
      <rPr>
        <i/>
        <sz val="12"/>
        <color rgb="FFFF0000"/>
        <rFont val="Calibri"/>
        <scheme val="minor"/>
      </rPr>
      <t xml:space="preserve">(% is autocalculated from project information. Please add additional comments.) </t>
    </r>
  </si>
  <si>
    <t>0 if 100%
1 if 75%+
2 if between 51-75%
3 if ≤50%</t>
  </si>
  <si>
    <t>Are there any unique, unusual or complex features/elements in the proposal, which may impede its success (score as 0 or 1) and/or will contribute to its success/impact (score as 2 or 3)?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</si>
</sst>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sz val="10"/>
      <color theme="1"/>
      <name val="Arial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6"/>
      <name val="Calibri"/>
      <scheme val="minor"/>
    </font>
    <font>
      <i/>
      <sz val="11"/>
      <color rgb="FF000000"/>
      <name val="Calibri"/>
      <scheme val="minor"/>
    </font>
    <font>
      <b/>
      <i/>
      <sz val="11"/>
      <color rgb="FF00B050"/>
      <name val="Calibri"/>
      <family val="2"/>
      <scheme val="minor"/>
    </font>
    <font>
      <i/>
      <sz val="9"/>
      <color rgb="FFFF0000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rgb="FF000000"/>
      <name val="Calibri"/>
    </font>
    <font>
      <b/>
      <sz val="14"/>
      <color rgb="FF000000"/>
      <name val="Calibri"/>
      <family val="2"/>
      <scheme val="minor"/>
    </font>
    <font>
      <b/>
      <i/>
      <sz val="12"/>
      <color theme="1"/>
      <name val="Calibri"/>
      <scheme val="minor"/>
    </font>
    <font>
      <i/>
      <sz val="12"/>
      <color rgb="FFFF0000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i/>
      <sz val="12"/>
      <color rgb="FFFF0000"/>
      <name val="Calibri"/>
      <scheme val="minor"/>
    </font>
    <font>
      <sz val="12"/>
      <color rgb="FF000000"/>
      <name val="Calibri"/>
    </font>
    <font>
      <sz val="12"/>
      <name val="Calibri"/>
      <family val="2"/>
      <scheme val="minor"/>
    </font>
    <font>
      <sz val="12"/>
      <color rgb="FF5B9BD5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rgb="FF000000"/>
      <name val="Calibri"/>
    </font>
    <font>
      <i/>
      <sz val="12"/>
      <color theme="1"/>
      <name val="Calibri"/>
      <family val="2"/>
      <scheme val="minor"/>
    </font>
    <font>
      <sz val="12"/>
      <color rgb="FF444444"/>
      <name val="Calibri"/>
    </font>
    <font>
      <b/>
      <sz val="12"/>
      <color rgb="FF444444"/>
      <name val="Calibri"/>
    </font>
    <font>
      <i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1"/>
      <color rgb="FFFF0000"/>
      <name val="Calibri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rgb="FFFF0000"/>
      <name val="Calibri"/>
    </font>
    <font>
      <sz val="14"/>
      <color rgb="FF000000"/>
      <name val="Calibri"/>
      <scheme val="minor"/>
    </font>
    <font>
      <i/>
      <sz val="11"/>
      <color rgb="FFFF0000"/>
      <name val="Aptos Narrow"/>
      <charset val="1"/>
    </font>
    <font>
      <i/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2"/>
      <color rgb="FF000000"/>
      <name val="Calibri"/>
    </font>
    <font>
      <sz val="10"/>
      <color rgb="FFFF0000"/>
      <name val="Calibri"/>
    </font>
    <font>
      <b/>
      <sz val="12"/>
      <color theme="1"/>
      <name val="Calibri"/>
    </font>
    <font>
      <b/>
      <i/>
      <sz val="11"/>
      <color rgb="FFFF0000"/>
      <name val="Calibri"/>
    </font>
    <font>
      <i/>
      <sz val="10"/>
      <name val="Calibri"/>
      <family val="2"/>
      <scheme val="minor"/>
    </font>
    <font>
      <i/>
      <sz val="11"/>
      <color rgb="FF000000"/>
      <name val="Arial"/>
      <family val="2"/>
    </font>
    <font>
      <i/>
      <sz val="11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rgb="FF000000"/>
      <name val="Calibri"/>
    </font>
    <font>
      <b/>
      <i/>
      <sz val="10"/>
      <color rgb="FFFF0000"/>
      <name val="Calibri"/>
    </font>
    <font>
      <b/>
      <i/>
      <sz val="10"/>
      <color rgb="FFFFC000"/>
      <name val="Calibri"/>
    </font>
    <font>
      <b/>
      <i/>
      <sz val="10"/>
      <color rgb="FF000000"/>
      <name val="Calibri"/>
    </font>
    <font>
      <i/>
      <sz val="1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1"/>
      <color rgb="FFFFC000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B050"/>
      <name val="Arial"/>
      <family val="2"/>
    </font>
    <font>
      <b/>
      <sz val="10"/>
      <color theme="1"/>
      <name val="Arial"/>
      <family val="2"/>
      <charset val="1"/>
    </font>
    <font>
      <b/>
      <u/>
      <sz val="10"/>
      <color rgb="FF000000"/>
      <name val="Arial"/>
      <family val="2"/>
    </font>
    <font>
      <b/>
      <i/>
      <u/>
      <sz val="10"/>
      <color rgb="FFFF0000"/>
      <name val="Arial"/>
      <family val="2"/>
    </font>
    <font>
      <i/>
      <sz val="10"/>
      <color theme="10"/>
      <name val="Arial"/>
      <family val="2"/>
    </font>
    <font>
      <i/>
      <sz val="10"/>
      <name val="Arial"/>
      <family val="2"/>
    </font>
    <font>
      <i/>
      <sz val="12"/>
      <color rgb="FF000000"/>
      <name val="Calibri"/>
      <scheme val="minor"/>
    </font>
    <font>
      <i/>
      <sz val="12"/>
      <color rgb="FFFF0000"/>
      <name val="Calibri"/>
    </font>
    <font>
      <sz val="12"/>
      <color theme="1"/>
      <name val="Calibri"/>
    </font>
    <font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rgb="FF000000"/>
      </right>
      <top style="thin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 style="hair">
        <color indexed="64"/>
      </left>
      <right/>
      <top style="dotted">
        <color rgb="FF000000"/>
      </top>
      <bottom/>
      <diagonal/>
    </border>
    <border>
      <left/>
      <right style="hair">
        <color indexed="64"/>
      </right>
      <top style="dotted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0" tint="-0.14996795556505021"/>
      </left>
      <right/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thin">
        <color theme="2" tint="-9.9978637043366805E-2"/>
      </bottom>
      <diagonal/>
    </border>
    <border>
      <left/>
      <right/>
      <top style="medium">
        <color theme="0" tint="-0.14996795556505021"/>
      </top>
      <bottom style="thin">
        <color theme="2" tint="-9.9978637043366805E-2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 tint="-0.14996795556505021"/>
      </left>
      <right/>
      <top style="thin">
        <color theme="2" tint="-9.9978637043366805E-2"/>
      </top>
      <bottom style="medium">
        <color theme="0" tint="-0.14996795556505021"/>
      </bottom>
      <diagonal/>
    </border>
    <border>
      <left/>
      <right/>
      <top style="thin">
        <color theme="2" tint="-9.9978637043366805E-2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2" tint="-9.9978637043366805E-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24994659260841701"/>
      </bottom>
      <diagonal/>
    </border>
    <border>
      <left/>
      <right/>
      <top style="medium">
        <color theme="0" tint="-0.14993743705557422"/>
      </top>
      <bottom style="medium">
        <color theme="0" tint="-0.2499465926084170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7" fillId="6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1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8" xfId="0" applyBorder="1"/>
    <xf numFmtId="0" fontId="0" fillId="0" borderId="2" xfId="0" applyBorder="1" applyAlignment="1">
      <alignment vertical="top" wrapText="1"/>
    </xf>
    <xf numFmtId="0" fontId="2" fillId="0" borderId="11" xfId="0" applyFon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0" borderId="11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left" indent="1"/>
    </xf>
    <xf numFmtId="0" fontId="0" fillId="3" borderId="9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4" xfId="0" applyBorder="1"/>
    <xf numFmtId="0" fontId="6" fillId="0" borderId="25" xfId="0" applyFont="1" applyBorder="1" applyAlignment="1">
      <alignment horizontal="right"/>
    </xf>
    <xf numFmtId="0" fontId="4" fillId="0" borderId="25" xfId="0" applyFont="1" applyBorder="1"/>
    <xf numFmtId="0" fontId="5" fillId="0" borderId="25" xfId="0" applyFont="1" applyBorder="1"/>
    <xf numFmtId="0" fontId="6" fillId="0" borderId="25" xfId="0" applyFont="1" applyBorder="1"/>
    <xf numFmtId="0" fontId="6" fillId="0" borderId="25" xfId="0" applyFont="1" applyBorder="1" applyAlignment="1">
      <alignment horizontal="left"/>
    </xf>
    <xf numFmtId="0" fontId="9" fillId="0" borderId="0" xfId="0" applyFont="1"/>
    <xf numFmtId="0" fontId="0" fillId="0" borderId="0" xfId="0" applyAlignment="1">
      <alignment horizontal="right" indent="1"/>
    </xf>
    <xf numFmtId="0" fontId="10" fillId="0" borderId="0" xfId="0" applyFont="1"/>
    <xf numFmtId="0" fontId="0" fillId="0" borderId="0" xfId="0" applyAlignment="1">
      <alignment vertical="top"/>
    </xf>
    <xf numFmtId="0" fontId="0" fillId="0" borderId="11" xfId="0" applyBorder="1"/>
    <xf numFmtId="0" fontId="0" fillId="4" borderId="18" xfId="0" applyFill="1" applyBorder="1"/>
    <xf numFmtId="0" fontId="0" fillId="4" borderId="16" xfId="0" applyFill="1" applyBorder="1"/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4" borderId="20" xfId="0" applyFill="1" applyBorder="1"/>
    <xf numFmtId="0" fontId="13" fillId="0" borderId="0" xfId="0" applyFont="1"/>
    <xf numFmtId="0" fontId="0" fillId="5" borderId="9" xfId="0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0" fillId="8" borderId="0" xfId="0" applyFill="1"/>
    <xf numFmtId="0" fontId="14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 vertical="center" wrapText="1"/>
    </xf>
    <xf numFmtId="0" fontId="17" fillId="6" borderId="9" xfId="1" applyBorder="1" applyAlignment="1">
      <alignment vertical="top" wrapText="1"/>
    </xf>
    <xf numFmtId="0" fontId="17" fillId="6" borderId="4" xfId="1" applyBorder="1" applyAlignment="1">
      <alignment vertical="top" wrapText="1"/>
    </xf>
    <xf numFmtId="0" fontId="17" fillId="6" borderId="6" xfId="1" applyBorder="1" applyAlignment="1">
      <alignment vertical="top" wrapText="1"/>
    </xf>
    <xf numFmtId="0" fontId="17" fillId="6" borderId="7" xfId="1" applyBorder="1" applyAlignment="1">
      <alignment vertical="top" wrapText="1"/>
    </xf>
    <xf numFmtId="0" fontId="0" fillId="8" borderId="0" xfId="0" applyFill="1" applyAlignment="1">
      <alignment horizontal="center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25" fillId="0" borderId="0" xfId="0" applyFont="1" applyAlignment="1">
      <alignment vertical="top" wrapText="1"/>
    </xf>
    <xf numFmtId="0" fontId="17" fillId="6" borderId="38" xfId="1" applyBorder="1" applyAlignment="1">
      <alignment vertical="top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0" fillId="15" borderId="0" xfId="0" applyFill="1"/>
    <xf numFmtId="0" fontId="30" fillId="0" borderId="0" xfId="0" applyFont="1" applyAlignment="1">
      <alignment vertical="center"/>
    </xf>
    <xf numFmtId="0" fontId="23" fillId="4" borderId="67" xfId="0" applyFont="1" applyFill="1" applyBorder="1" applyAlignment="1">
      <alignment horizontal="center"/>
    </xf>
    <xf numFmtId="0" fontId="19" fillId="0" borderId="8" xfId="0" applyFont="1" applyBorder="1" applyAlignment="1">
      <alignment vertical="top" wrapText="1"/>
    </xf>
    <xf numFmtId="0" fontId="33" fillId="0" borderId="13" xfId="0" applyFont="1" applyBorder="1" applyAlignment="1">
      <alignment vertical="top" wrapText="1"/>
    </xf>
    <xf numFmtId="0" fontId="33" fillId="0" borderId="1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3" fillId="0" borderId="10" xfId="0" applyFont="1" applyBorder="1" applyAlignment="1">
      <alignment vertical="top" wrapText="1"/>
    </xf>
    <xf numFmtId="0" fontId="23" fillId="6" borderId="3" xfId="1" applyFont="1" applyBorder="1" applyAlignment="1">
      <alignment horizontal="center" vertical="center" wrapText="1"/>
    </xf>
    <xf numFmtId="0" fontId="23" fillId="0" borderId="52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51" xfId="0" applyFont="1" applyBorder="1" applyAlignment="1">
      <alignment vertical="center"/>
    </xf>
    <xf numFmtId="0" fontId="23" fillId="0" borderId="50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73" xfId="0" applyFont="1" applyBorder="1" applyAlignment="1">
      <alignment vertical="center"/>
    </xf>
    <xf numFmtId="0" fontId="23" fillId="0" borderId="4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/>
    <xf numFmtId="0" fontId="23" fillId="0" borderId="49" xfId="0" applyFont="1" applyBorder="1" applyAlignment="1">
      <alignment horizontal="right" vertical="center"/>
    </xf>
    <xf numFmtId="164" fontId="23" fillId="0" borderId="53" xfId="0" applyNumberFormat="1" applyFont="1" applyBorder="1" applyAlignment="1">
      <alignment vertical="center"/>
    </xf>
    <xf numFmtId="0" fontId="23" fillId="0" borderId="0" xfId="0" applyFont="1" applyAlignment="1">
      <alignment horizontal="left"/>
    </xf>
    <xf numFmtId="0" fontId="38" fillId="0" borderId="0" xfId="0" applyFont="1"/>
    <xf numFmtId="0" fontId="23" fillId="0" borderId="0" xfId="0" applyFont="1"/>
    <xf numFmtId="0" fontId="23" fillId="6" borderId="26" xfId="1" applyFont="1" applyBorder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0" fontId="33" fillId="0" borderId="8" xfId="0" applyFont="1" applyBorder="1" applyAlignment="1">
      <alignment horizontal="left" vertical="center" wrapText="1"/>
    </xf>
    <xf numFmtId="0" fontId="33" fillId="0" borderId="8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32" fillId="5" borderId="4" xfId="0" applyFont="1" applyFill="1" applyBorder="1" applyAlignment="1">
      <alignment horizontal="center" vertical="center"/>
    </xf>
    <xf numFmtId="0" fontId="47" fillId="9" borderId="0" xfId="0" applyFont="1" applyFill="1" applyAlignment="1">
      <alignment horizontal="center"/>
    </xf>
    <xf numFmtId="0" fontId="32" fillId="0" borderId="0" xfId="0" applyFont="1" applyAlignment="1">
      <alignment horizontal="left"/>
    </xf>
    <xf numFmtId="0" fontId="33" fillId="0" borderId="51" xfId="0" applyFont="1" applyBorder="1" applyAlignment="1">
      <alignment vertical="center"/>
    </xf>
    <xf numFmtId="0" fontId="33" fillId="0" borderId="52" xfId="0" applyFont="1" applyBorder="1" applyAlignment="1">
      <alignment vertical="center"/>
    </xf>
    <xf numFmtId="0" fontId="33" fillId="5" borderId="45" xfId="0" applyFont="1" applyFill="1" applyBorder="1" applyAlignment="1">
      <alignment horizontal="left" vertical="center"/>
    </xf>
    <xf numFmtId="0" fontId="33" fillId="5" borderId="49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32" fillId="6" borderId="4" xfId="1" applyFont="1" applyBorder="1" applyAlignment="1">
      <alignment horizontal="center" vertical="center"/>
    </xf>
    <xf numFmtId="0" fontId="50" fillId="0" borderId="0" xfId="0" applyFont="1"/>
    <xf numFmtId="0" fontId="52" fillId="0" borderId="76" xfId="0" applyFont="1" applyBorder="1" applyAlignment="1">
      <alignment horizontal="left" vertical="top" wrapText="1"/>
    </xf>
    <xf numFmtId="0" fontId="35" fillId="0" borderId="77" xfId="0" applyFont="1" applyBorder="1" applyAlignment="1">
      <alignment horizontal="center" vertical="center" wrapText="1"/>
    </xf>
    <xf numFmtId="0" fontId="52" fillId="0" borderId="80" xfId="0" applyFont="1" applyBorder="1" applyAlignment="1">
      <alignment vertical="top" wrapText="1"/>
    </xf>
    <xf numFmtId="0" fontId="35" fillId="0" borderId="70" xfId="0" applyFont="1" applyBorder="1" applyAlignment="1">
      <alignment horizontal="center" vertical="center" wrapText="1"/>
    </xf>
    <xf numFmtId="0" fontId="52" fillId="0" borderId="72" xfId="0" applyFont="1" applyBorder="1" applyAlignment="1">
      <alignment vertical="top" wrapText="1"/>
    </xf>
    <xf numFmtId="0" fontId="15" fillId="5" borderId="4" xfId="1" applyFont="1" applyFill="1" applyBorder="1" applyAlignment="1">
      <alignment horizontal="center" vertical="center" wrapText="1"/>
    </xf>
    <xf numFmtId="0" fontId="31" fillId="0" borderId="11" xfId="0" applyFont="1" applyBorder="1"/>
    <xf numFmtId="0" fontId="31" fillId="0" borderId="11" xfId="0" applyFont="1" applyBorder="1" applyAlignment="1">
      <alignment horizontal="center"/>
    </xf>
    <xf numFmtId="0" fontId="21" fillId="0" borderId="25" xfId="0" applyFont="1" applyBorder="1"/>
    <xf numFmtId="0" fontId="20" fillId="0" borderId="25" xfId="0" applyFont="1" applyBorder="1"/>
    <xf numFmtId="0" fontId="47" fillId="0" borderId="25" xfId="0" applyFont="1" applyBorder="1" applyAlignment="1">
      <alignment horizontal="right" vertical="center"/>
    </xf>
    <xf numFmtId="0" fontId="41" fillId="0" borderId="2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5" borderId="42" xfId="0" applyFont="1" applyFill="1" applyBorder="1" applyAlignment="1">
      <alignment horizontal="center" vertical="center"/>
    </xf>
    <xf numFmtId="0" fontId="32" fillId="6" borderId="14" xfId="1" applyFont="1" applyBorder="1" applyAlignment="1">
      <alignment horizontal="left" vertical="center"/>
    </xf>
    <xf numFmtId="0" fontId="32" fillId="6" borderId="41" xfId="1" applyFont="1" applyBorder="1" applyAlignment="1">
      <alignment horizontal="left" vertical="center"/>
    </xf>
    <xf numFmtId="0" fontId="32" fillId="6" borderId="8" xfId="1" applyFont="1" applyBorder="1" applyAlignment="1">
      <alignment horizontal="left" vertical="center"/>
    </xf>
    <xf numFmtId="0" fontId="32" fillId="6" borderId="1" xfId="1" applyFont="1" applyBorder="1" applyAlignment="1">
      <alignment horizontal="left" vertical="center"/>
    </xf>
    <xf numFmtId="0" fontId="32" fillId="6" borderId="5" xfId="1" applyFont="1" applyBorder="1" applyAlignment="1">
      <alignment horizontal="left" vertical="center"/>
    </xf>
    <xf numFmtId="0" fontId="32" fillId="6" borderId="0" xfId="1" applyFont="1" applyBorder="1" applyAlignment="1">
      <alignment horizontal="left" vertical="center"/>
    </xf>
    <xf numFmtId="0" fontId="32" fillId="6" borderId="3" xfId="1" applyFont="1" applyBorder="1" applyAlignment="1">
      <alignment horizontal="center" vertical="center"/>
    </xf>
    <xf numFmtId="0" fontId="49" fillId="6" borderId="82" xfId="1" applyFont="1" applyBorder="1" applyAlignment="1">
      <alignment horizontal="left" vertical="center"/>
    </xf>
    <xf numFmtId="0" fontId="33" fillId="5" borderId="73" xfId="0" applyFont="1" applyFill="1" applyBorder="1" applyAlignment="1">
      <alignment horizontal="center" vertical="center"/>
    </xf>
    <xf numFmtId="0" fontId="23" fillId="6" borderId="42" xfId="1" applyFont="1" applyBorder="1" applyAlignment="1">
      <alignment horizontal="center" vertical="center" wrapText="1"/>
    </xf>
    <xf numFmtId="0" fontId="17" fillId="6" borderId="3" xfId="1" applyBorder="1" applyAlignment="1">
      <alignment vertical="top" wrapText="1"/>
    </xf>
    <xf numFmtId="0" fontId="23" fillId="6" borderId="39" xfId="1" applyFont="1" applyBorder="1" applyAlignment="1">
      <alignment horizontal="center" vertical="center" wrapText="1"/>
    </xf>
    <xf numFmtId="0" fontId="23" fillId="6" borderId="38" xfId="1" applyFont="1" applyBorder="1" applyAlignment="1">
      <alignment horizontal="center" vertical="center" wrapText="1"/>
    </xf>
    <xf numFmtId="0" fontId="23" fillId="6" borderId="51" xfId="1" applyFont="1" applyBorder="1" applyAlignment="1">
      <alignment horizontal="center" vertical="center" wrapText="1"/>
    </xf>
    <xf numFmtId="0" fontId="23" fillId="6" borderId="83" xfId="1" applyFont="1" applyBorder="1" applyAlignment="1">
      <alignment horizontal="center" vertical="center" wrapText="1"/>
    </xf>
    <xf numFmtId="0" fontId="23" fillId="6" borderId="84" xfId="1" applyFont="1" applyBorder="1" applyAlignment="1">
      <alignment horizontal="center" vertical="center" wrapText="1"/>
    </xf>
    <xf numFmtId="0" fontId="17" fillId="6" borderId="82" xfId="1" applyBorder="1" applyAlignment="1">
      <alignment vertical="top" wrapText="1"/>
    </xf>
    <xf numFmtId="0" fontId="23" fillId="6" borderId="82" xfId="1" applyFont="1" applyBorder="1" applyAlignment="1">
      <alignment horizontal="center" vertical="center" wrapText="1"/>
    </xf>
    <xf numFmtId="0" fontId="33" fillId="5" borderId="38" xfId="1" applyFont="1" applyFill="1" applyBorder="1" applyAlignment="1">
      <alignment horizontal="left" vertical="top" wrapText="1"/>
    </xf>
    <xf numFmtId="0" fontId="17" fillId="6" borderId="3" xfId="1" applyBorder="1" applyAlignment="1">
      <alignment horizontal="left" vertical="center" wrapText="1"/>
    </xf>
    <xf numFmtId="0" fontId="33" fillId="5" borderId="50" xfId="0" applyFont="1" applyFill="1" applyBorder="1" applyAlignment="1">
      <alignment horizontal="left" vertical="center"/>
    </xf>
    <xf numFmtId="0" fontId="33" fillId="5" borderId="49" xfId="0" applyFont="1" applyFill="1" applyBorder="1" applyAlignment="1">
      <alignment vertical="center"/>
    </xf>
    <xf numFmtId="0" fontId="62" fillId="6" borderId="42" xfId="1" applyFont="1" applyBorder="1" applyAlignment="1">
      <alignment horizontal="center" vertical="center" wrapText="1"/>
    </xf>
    <xf numFmtId="0" fontId="31" fillId="0" borderId="0" xfId="0" applyFont="1"/>
    <xf numFmtId="0" fontId="62" fillId="6" borderId="51" xfId="1" applyFont="1" applyBorder="1" applyAlignment="1">
      <alignment horizontal="center" vertical="center" wrapText="1"/>
    </xf>
    <xf numFmtId="0" fontId="17" fillId="6" borderId="81" xfId="1" applyBorder="1" applyAlignment="1">
      <alignment horizontal="center" vertical="center" wrapText="1"/>
    </xf>
    <xf numFmtId="0" fontId="17" fillId="6" borderId="91" xfId="1" applyBorder="1" applyAlignment="1">
      <alignment horizontal="left" vertical="center" wrapText="1"/>
    </xf>
    <xf numFmtId="0" fontId="17" fillId="6" borderId="42" xfId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17" fillId="0" borderId="0" xfId="1" applyFill="1" applyBorder="1" applyAlignment="1">
      <alignment vertical="top" wrapText="1"/>
    </xf>
    <xf numFmtId="0" fontId="17" fillId="0" borderId="0" xfId="1" applyFill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46" fillId="5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right" vertical="top" wrapText="1"/>
    </xf>
    <xf numFmtId="0" fontId="17" fillId="6" borderId="51" xfId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47" fillId="16" borderId="25" xfId="0" applyFont="1" applyFill="1" applyBorder="1" applyAlignment="1">
      <alignment horizontal="left"/>
    </xf>
    <xf numFmtId="0" fontId="44" fillId="16" borderId="25" xfId="0" applyFont="1" applyFill="1" applyBorder="1"/>
    <xf numFmtId="0" fontId="32" fillId="16" borderId="25" xfId="0" applyFont="1" applyFill="1" applyBorder="1"/>
    <xf numFmtId="0" fontId="47" fillId="16" borderId="25" xfId="0" applyFont="1" applyFill="1" applyBorder="1" applyAlignment="1">
      <alignment horizontal="right"/>
    </xf>
    <xf numFmtId="0" fontId="2" fillId="16" borderId="0" xfId="0" applyFont="1" applyFill="1" applyAlignment="1">
      <alignment vertical="center"/>
    </xf>
    <xf numFmtId="0" fontId="2" fillId="16" borderId="0" xfId="0" applyFont="1" applyFill="1" applyAlignment="1">
      <alignment horizontal="left" vertical="center"/>
    </xf>
    <xf numFmtId="0" fontId="16" fillId="12" borderId="56" xfId="0" applyFont="1" applyFill="1" applyBorder="1"/>
    <xf numFmtId="0" fontId="0" fillId="13" borderId="56" xfId="0" applyFill="1" applyBorder="1"/>
    <xf numFmtId="0" fontId="0" fillId="0" borderId="57" xfId="0" applyBorder="1"/>
    <xf numFmtId="0" fontId="0" fillId="14" borderId="58" xfId="0" applyFill="1" applyBorder="1"/>
    <xf numFmtId="0" fontId="0" fillId="0" borderId="27" xfId="0" applyBorder="1"/>
    <xf numFmtId="0" fontId="0" fillId="0" borderId="30" xfId="0" applyBorder="1"/>
    <xf numFmtId="0" fontId="0" fillId="0" borderId="34" xfId="0" applyBorder="1"/>
    <xf numFmtId="0" fontId="23" fillId="10" borderId="89" xfId="0" applyFont="1" applyFill="1" applyBorder="1" applyAlignment="1">
      <alignment horizontal="left" vertical="top"/>
    </xf>
    <xf numFmtId="0" fontId="29" fillId="0" borderId="11" xfId="0" applyFont="1" applyBorder="1" applyAlignment="1">
      <alignment vertical="center"/>
    </xf>
    <xf numFmtId="0" fontId="33" fillId="5" borderId="49" xfId="1" applyFont="1" applyFill="1" applyBorder="1" applyAlignment="1">
      <alignment horizontal="left" vertical="center" wrapText="1"/>
    </xf>
    <xf numFmtId="0" fontId="16" fillId="0" borderId="94" xfId="0" applyFont="1" applyBorder="1" applyAlignment="1">
      <alignment wrapText="1"/>
    </xf>
    <xf numFmtId="0" fontId="81" fillId="0" borderId="94" xfId="0" applyFont="1" applyBorder="1"/>
    <xf numFmtId="0" fontId="83" fillId="0" borderId="0" xfId="0" applyFont="1" applyAlignment="1">
      <alignment horizontal="center" vertical="center"/>
    </xf>
    <xf numFmtId="0" fontId="9" fillId="10" borderId="0" xfId="0" applyFont="1" applyFill="1" applyAlignment="1">
      <alignment horizontal="left" vertical="top"/>
    </xf>
    <xf numFmtId="0" fontId="23" fillId="10" borderId="0" xfId="0" applyFont="1" applyFill="1" applyAlignment="1">
      <alignment horizontal="left" vertical="top"/>
    </xf>
    <xf numFmtId="0" fontId="13" fillId="0" borderId="116" xfId="0" applyFont="1" applyBorder="1" applyAlignment="1">
      <alignment horizontal="center" vertical="top"/>
    </xf>
    <xf numFmtId="0" fontId="83" fillId="0" borderId="115" xfId="0" applyFont="1" applyBorder="1" applyAlignment="1">
      <alignment horizontal="center" vertical="center"/>
    </xf>
    <xf numFmtId="0" fontId="0" fillId="3" borderId="4" xfId="0" applyFill="1" applyBorder="1"/>
    <xf numFmtId="0" fontId="0" fillId="5" borderId="4" xfId="0" applyFill="1" applyBorder="1"/>
    <xf numFmtId="0" fontId="0" fillId="0" borderId="37" xfId="0" applyBorder="1"/>
    <xf numFmtId="0" fontId="23" fillId="4" borderId="5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8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horizontal="left" indent="1"/>
    </xf>
    <xf numFmtId="0" fontId="0" fillId="3" borderId="4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3" borderId="4" xfId="0" applyFill="1" applyBorder="1" applyAlignment="1">
      <alignment vertical="top" wrapText="1"/>
    </xf>
    <xf numFmtId="0" fontId="0" fillId="0" borderId="19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4" borderId="19" xfId="0" applyFill="1" applyBorder="1" applyAlignment="1">
      <alignment horizontal="left" vertical="center" indent="2"/>
    </xf>
    <xf numFmtId="0" fontId="0" fillId="4" borderId="0" xfId="0" applyFill="1" applyAlignment="1">
      <alignment horizontal="left" vertical="center" indent="2"/>
    </xf>
    <xf numFmtId="0" fontId="0" fillId="5" borderId="4" xfId="0" applyFill="1" applyBorder="1" applyAlignment="1">
      <alignment vertical="top" wrapText="1"/>
    </xf>
    <xf numFmtId="0" fontId="31" fillId="11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71" fillId="0" borderId="27" xfId="0" applyFont="1" applyBorder="1" applyAlignment="1">
      <alignment horizontal="left" vertical="center"/>
    </xf>
    <xf numFmtId="0" fontId="31" fillId="11" borderId="34" xfId="0" applyFont="1" applyFill="1" applyBorder="1" applyAlignment="1">
      <alignment horizontal="center"/>
    </xf>
    <xf numFmtId="0" fontId="33" fillId="0" borderId="13" xfId="0" applyFont="1" applyBorder="1" applyAlignment="1">
      <alignment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vertical="center" wrapText="1"/>
    </xf>
    <xf numFmtId="0" fontId="3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9" fillId="6" borderId="3" xfId="1" applyFont="1" applyBorder="1" applyAlignment="1">
      <alignment horizontal="left" vertical="center"/>
    </xf>
    <xf numFmtId="0" fontId="89" fillId="6" borderId="38" xfId="1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8" xfId="0" applyBorder="1" applyAlignment="1">
      <alignment wrapText="1"/>
    </xf>
    <xf numFmtId="0" fontId="0" fillId="3" borderId="4" xfId="0" applyFill="1" applyBorder="1"/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0" fillId="3" borderId="4" xfId="0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9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17" xfId="0" applyBorder="1" applyAlignment="1">
      <alignment horizontal="left" vertical="center" indent="2"/>
    </xf>
    <xf numFmtId="0" fontId="0" fillId="0" borderId="11" xfId="0" applyBorder="1" applyAlignment="1">
      <alignment horizontal="left" vertical="center" indent="2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5" borderId="4" xfId="0" applyFill="1" applyBorder="1"/>
    <xf numFmtId="0" fontId="2" fillId="4" borderId="24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4" borderId="21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 indent="2"/>
    </xf>
    <xf numFmtId="0" fontId="0" fillId="4" borderId="0" xfId="0" applyFill="1" applyAlignment="1">
      <alignment horizontal="left" vertical="center" indent="2"/>
    </xf>
    <xf numFmtId="0" fontId="0" fillId="4" borderId="0" xfId="0" applyFill="1" applyAlignment="1">
      <alignment horizontal="left" vertical="center"/>
    </xf>
    <xf numFmtId="0" fontId="0" fillId="4" borderId="17" xfId="0" applyFill="1" applyBorder="1" applyAlignment="1">
      <alignment horizontal="left" vertical="center" indent="2"/>
    </xf>
    <xf numFmtId="0" fontId="0" fillId="4" borderId="11" xfId="0" applyFill="1" applyBorder="1" applyAlignment="1">
      <alignment horizontal="left" vertical="center" indent="2"/>
    </xf>
    <xf numFmtId="0" fontId="0" fillId="4" borderId="11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0" fillId="5" borderId="4" xfId="0" applyFill="1" applyBorder="1" applyAlignment="1">
      <alignment vertical="top" wrapText="1"/>
    </xf>
    <xf numFmtId="0" fontId="68" fillId="10" borderId="0" xfId="0" applyFont="1" applyFill="1" applyAlignment="1">
      <alignment horizontal="center" vertical="center"/>
    </xf>
    <xf numFmtId="0" fontId="47" fillId="16" borderId="25" xfId="0" applyFont="1" applyFill="1" applyBorder="1" applyAlignment="1">
      <alignment horizontal="center"/>
    </xf>
    <xf numFmtId="0" fontId="44" fillId="16" borderId="25" xfId="0" applyFont="1" applyFill="1" applyBorder="1" applyAlignment="1">
      <alignment horizontal="center"/>
    </xf>
    <xf numFmtId="0" fontId="0" fillId="0" borderId="56" xfId="0" applyBorder="1" applyAlignment="1">
      <alignment horizontal="left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78" fillId="0" borderId="94" xfId="0" applyFont="1" applyBorder="1" applyAlignment="1">
      <alignment horizontal="center" vertical="center" wrapText="1"/>
    </xf>
    <xf numFmtId="0" fontId="67" fillId="0" borderId="56" xfId="0" applyFon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31" fillId="11" borderId="95" xfId="0" applyFont="1" applyFill="1" applyBorder="1" applyAlignment="1">
      <alignment horizontal="center"/>
    </xf>
    <xf numFmtId="0" fontId="31" fillId="11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9" fillId="0" borderId="96" xfId="0" applyFont="1" applyBorder="1" applyAlignment="1">
      <alignment horizontal="left" vertical="center" wrapText="1"/>
    </xf>
    <xf numFmtId="0" fontId="9" fillId="0" borderId="97" xfId="0" applyFont="1" applyBorder="1" applyAlignment="1">
      <alignment horizontal="left" vertical="center" wrapText="1"/>
    </xf>
    <xf numFmtId="0" fontId="9" fillId="0" borderId="98" xfId="0" applyFont="1" applyBorder="1" applyAlignment="1">
      <alignment horizontal="left" vertical="center" wrapText="1"/>
    </xf>
    <xf numFmtId="0" fontId="71" fillId="0" borderId="37" xfId="0" applyFont="1" applyBorder="1" applyAlignment="1">
      <alignment horizontal="left" vertical="center"/>
    </xf>
    <xf numFmtId="0" fontId="84" fillId="0" borderId="99" xfId="0" applyFont="1" applyBorder="1" applyAlignment="1">
      <alignment horizontal="left" vertical="center" indent="2"/>
    </xf>
    <xf numFmtId="0" fontId="84" fillId="0" borderId="100" xfId="0" applyFont="1" applyBorder="1" applyAlignment="1">
      <alignment horizontal="left" vertical="center" indent="2"/>
    </xf>
    <xf numFmtId="0" fontId="84" fillId="0" borderId="101" xfId="0" applyFont="1" applyBorder="1" applyAlignment="1">
      <alignment horizontal="left" vertical="center" indent="2"/>
    </xf>
    <xf numFmtId="0" fontId="84" fillId="0" borderId="102" xfId="0" applyFont="1" applyBorder="1" applyAlignment="1">
      <alignment horizontal="left" vertical="center" indent="2"/>
    </xf>
    <xf numFmtId="0" fontId="84" fillId="0" borderId="103" xfId="0" applyFont="1" applyBorder="1" applyAlignment="1">
      <alignment horizontal="left" vertical="center" indent="2"/>
    </xf>
    <xf numFmtId="0" fontId="84" fillId="0" borderId="104" xfId="0" applyFont="1" applyBorder="1" applyAlignment="1">
      <alignment horizontal="left" vertical="center" indent="2"/>
    </xf>
    <xf numFmtId="0" fontId="9" fillId="0" borderId="105" xfId="0" applyFont="1" applyBorder="1" applyAlignment="1">
      <alignment horizontal="left" vertical="center"/>
    </xf>
    <xf numFmtId="0" fontId="9" fillId="0" borderId="106" xfId="0" applyFont="1" applyBorder="1" applyAlignment="1">
      <alignment horizontal="left" vertical="center"/>
    </xf>
    <xf numFmtId="0" fontId="9" fillId="0" borderId="107" xfId="0" applyFont="1" applyBorder="1" applyAlignment="1">
      <alignment horizontal="left" vertical="center"/>
    </xf>
    <xf numFmtId="0" fontId="72" fillId="0" borderId="31" xfId="0" applyFont="1" applyBorder="1" applyAlignment="1">
      <alignment horizontal="left" vertical="center" wrapText="1"/>
    </xf>
    <xf numFmtId="0" fontId="72" fillId="0" borderId="33" xfId="0" applyFont="1" applyBorder="1" applyAlignment="1">
      <alignment horizontal="left" vertical="center" wrapText="1"/>
    </xf>
    <xf numFmtId="0" fontId="72" fillId="0" borderId="96" xfId="0" applyFont="1" applyBorder="1" applyAlignment="1">
      <alignment horizontal="left" vertical="center" wrapText="1"/>
    </xf>
    <xf numFmtId="0" fontId="72" fillId="0" borderId="9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72" fillId="0" borderId="28" xfId="0" applyFont="1" applyBorder="1" applyAlignment="1">
      <alignment horizontal="left" vertical="center"/>
    </xf>
    <xf numFmtId="0" fontId="72" fillId="0" borderId="30" xfId="0" applyFont="1" applyBorder="1" applyAlignment="1">
      <alignment horizontal="left" vertical="center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72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 indent="2"/>
    </xf>
    <xf numFmtId="0" fontId="13" fillId="0" borderId="29" xfId="0" applyFont="1" applyBorder="1" applyAlignment="1">
      <alignment horizontal="left" vertical="center" indent="2"/>
    </xf>
    <xf numFmtId="0" fontId="13" fillId="0" borderId="30" xfId="0" applyFont="1" applyBorder="1" applyAlignment="1">
      <alignment horizontal="left" vertical="center" indent="2"/>
    </xf>
    <xf numFmtId="0" fontId="71" fillId="0" borderId="27" xfId="0" applyFont="1" applyBorder="1" applyAlignment="1">
      <alignment horizontal="left" vertical="center"/>
    </xf>
    <xf numFmtId="0" fontId="71" fillId="0" borderId="28" xfId="0" applyFont="1" applyBorder="1" applyAlignment="1">
      <alignment horizontal="left" vertical="center"/>
    </xf>
    <xf numFmtId="0" fontId="71" fillId="0" borderId="30" xfId="0" applyFont="1" applyBorder="1" applyAlignment="1">
      <alignment horizontal="left" vertical="center"/>
    </xf>
    <xf numFmtId="0" fontId="72" fillId="0" borderId="27" xfId="0" applyFont="1" applyBorder="1" applyAlignment="1">
      <alignment horizontal="left" vertical="center" wrapText="1"/>
    </xf>
    <xf numFmtId="0" fontId="87" fillId="0" borderId="28" xfId="2" applyFont="1" applyBorder="1" applyAlignment="1">
      <alignment horizontal="left" vertical="center"/>
    </xf>
    <xf numFmtId="0" fontId="87" fillId="0" borderId="29" xfId="2" applyFont="1" applyBorder="1" applyAlignment="1">
      <alignment horizontal="left" vertical="center"/>
    </xf>
    <xf numFmtId="0" fontId="71" fillId="0" borderId="28" xfId="0" applyFont="1" applyBorder="1" applyAlignment="1">
      <alignment horizontal="left" vertical="center" indent="2"/>
    </xf>
    <xf numFmtId="0" fontId="9" fillId="0" borderId="29" xfId="0" applyFont="1" applyBorder="1" applyAlignment="1">
      <alignment horizontal="left" vertical="center" indent="2"/>
    </xf>
    <xf numFmtId="0" fontId="9" fillId="0" borderId="30" xfId="0" applyFont="1" applyBorder="1" applyAlignment="1">
      <alignment horizontal="left" vertical="center" indent="2"/>
    </xf>
    <xf numFmtId="0" fontId="71" fillId="0" borderId="29" xfId="0" applyFont="1" applyBorder="1" applyAlignment="1">
      <alignment horizontal="left" vertical="center"/>
    </xf>
    <xf numFmtId="0" fontId="71" fillId="0" borderId="29" xfId="0" applyFont="1" applyBorder="1" applyAlignment="1">
      <alignment horizontal="left" vertical="center" indent="2"/>
    </xf>
    <xf numFmtId="0" fontId="71" fillId="0" borderId="30" xfId="0" applyFont="1" applyBorder="1" applyAlignment="1">
      <alignment horizontal="left" vertical="center" indent="2"/>
    </xf>
    <xf numFmtId="0" fontId="80" fillId="0" borderId="28" xfId="0" applyFont="1" applyBorder="1" applyAlignment="1">
      <alignment horizontal="left" vertical="center" wrapText="1" indent="2"/>
    </xf>
    <xf numFmtId="0" fontId="13" fillId="0" borderId="29" xfId="0" applyFont="1" applyBorder="1" applyAlignment="1">
      <alignment horizontal="left" vertical="center" wrapText="1" indent="2"/>
    </xf>
    <xf numFmtId="0" fontId="13" fillId="0" borderId="30" xfId="0" applyFont="1" applyBorder="1" applyAlignment="1">
      <alignment horizontal="left" vertical="center" wrapText="1" indent="2"/>
    </xf>
    <xf numFmtId="0" fontId="72" fillId="0" borderId="28" xfId="0" quotePrefix="1" applyFont="1" applyBorder="1" applyAlignment="1">
      <alignment horizontal="left" vertical="center" wrapText="1"/>
    </xf>
    <xf numFmtId="0" fontId="72" fillId="0" borderId="29" xfId="0" applyFont="1" applyBorder="1" applyAlignment="1">
      <alignment horizontal="left" vertical="center" wrapText="1"/>
    </xf>
    <xf numFmtId="0" fontId="87" fillId="0" borderId="28" xfId="2" applyFont="1" applyBorder="1" applyAlignment="1">
      <alignment horizontal="left" vertical="center" wrapText="1"/>
    </xf>
    <xf numFmtId="0" fontId="87" fillId="0" borderId="29" xfId="2" applyFont="1" applyBorder="1" applyAlignment="1">
      <alignment horizontal="left"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96" xfId="0" applyFont="1" applyBorder="1" applyAlignment="1">
      <alignment vertical="center" wrapText="1"/>
    </xf>
    <xf numFmtId="0" fontId="9" fillId="0" borderId="97" xfId="0" applyFont="1" applyBorder="1" applyAlignment="1">
      <alignment vertical="center" wrapText="1"/>
    </xf>
    <xf numFmtId="0" fontId="9" fillId="0" borderId="98" xfId="0" applyFont="1" applyBorder="1" applyAlignment="1">
      <alignment vertical="center" wrapText="1"/>
    </xf>
    <xf numFmtId="0" fontId="0" fillId="0" borderId="114" xfId="0" applyBorder="1"/>
    <xf numFmtId="0" fontId="0" fillId="0" borderId="37" xfId="0" applyBorder="1"/>
    <xf numFmtId="0" fontId="72" fillId="0" borderId="28" xfId="0" applyFont="1" applyBorder="1" applyAlignment="1">
      <alignment horizontal="left" vertical="center" wrapText="1"/>
    </xf>
    <xf numFmtId="0" fontId="72" fillId="0" borderId="30" xfId="0" applyFont="1" applyBorder="1" applyAlignment="1">
      <alignment horizontal="left" vertical="center" wrapText="1"/>
    </xf>
    <xf numFmtId="0" fontId="87" fillId="0" borderId="30" xfId="2" applyFont="1" applyBorder="1" applyAlignment="1">
      <alignment horizontal="left" vertical="center" wrapText="1"/>
    </xf>
    <xf numFmtId="0" fontId="82" fillId="11" borderId="108" xfId="0" applyFont="1" applyFill="1" applyBorder="1" applyAlignment="1">
      <alignment horizontal="left" vertical="center" wrapText="1"/>
    </xf>
    <xf numFmtId="0" fontId="82" fillId="11" borderId="109" xfId="0" applyFont="1" applyFill="1" applyBorder="1" applyAlignment="1">
      <alignment horizontal="left" vertical="center" wrapText="1"/>
    </xf>
    <xf numFmtId="0" fontId="82" fillId="11" borderId="110" xfId="0" applyFont="1" applyFill="1" applyBorder="1" applyAlignment="1">
      <alignment horizontal="left" vertical="center" wrapText="1"/>
    </xf>
    <xf numFmtId="0" fontId="31" fillId="11" borderId="34" xfId="0" applyFont="1" applyFill="1" applyBorder="1" applyAlignment="1">
      <alignment horizontal="center"/>
    </xf>
    <xf numFmtId="0" fontId="13" fillId="0" borderId="108" xfId="0" applyFont="1" applyBorder="1" applyAlignment="1">
      <alignment horizontal="left"/>
    </xf>
    <xf numFmtId="0" fontId="13" fillId="0" borderId="109" xfId="0" applyFont="1" applyBorder="1" applyAlignment="1">
      <alignment horizontal="left"/>
    </xf>
    <xf numFmtId="0" fontId="13" fillId="0" borderId="110" xfId="0" applyFont="1" applyBorder="1" applyAlignment="1">
      <alignment horizontal="left"/>
    </xf>
    <xf numFmtId="0" fontId="73" fillId="0" borderId="34" xfId="0" applyFont="1" applyBorder="1" applyAlignment="1">
      <alignment horizontal="left" vertical="top"/>
    </xf>
    <xf numFmtId="0" fontId="13" fillId="0" borderId="108" xfId="0" applyFont="1" applyBorder="1" applyAlignment="1">
      <alignment horizontal="left" indent="3"/>
    </xf>
    <xf numFmtId="0" fontId="13" fillId="0" borderId="109" xfId="0" applyFont="1" applyBorder="1" applyAlignment="1">
      <alignment horizontal="left" indent="3"/>
    </xf>
    <xf numFmtId="0" fontId="13" fillId="0" borderId="110" xfId="0" applyFont="1" applyBorder="1" applyAlignment="1">
      <alignment horizontal="left" indent="3"/>
    </xf>
    <xf numFmtId="0" fontId="71" fillId="0" borderId="85" xfId="0" applyFont="1" applyBorder="1" applyAlignment="1">
      <alignment horizontal="left" vertical="top"/>
    </xf>
    <xf numFmtId="0" fontId="71" fillId="0" borderId="86" xfId="0" applyFont="1" applyBorder="1" applyAlignment="1">
      <alignment horizontal="left" vertical="top"/>
    </xf>
    <xf numFmtId="0" fontId="71" fillId="0" borderId="87" xfId="0" applyFont="1" applyBorder="1" applyAlignment="1">
      <alignment horizontal="left" vertical="top"/>
    </xf>
    <xf numFmtId="0" fontId="71" fillId="0" borderId="61" xfId="0" applyFont="1" applyBorder="1" applyAlignment="1">
      <alignment horizontal="left" vertical="top"/>
    </xf>
    <xf numFmtId="0" fontId="71" fillId="0" borderId="0" xfId="0" applyFont="1" applyAlignment="1">
      <alignment horizontal="left" vertical="top"/>
    </xf>
    <xf numFmtId="0" fontId="71" fillId="0" borderId="62" xfId="0" applyFont="1" applyBorder="1" applyAlignment="1">
      <alignment horizontal="left" vertical="top"/>
    </xf>
    <xf numFmtId="0" fontId="71" fillId="0" borderId="88" xfId="0" applyFont="1" applyBorder="1" applyAlignment="1">
      <alignment horizontal="left" vertical="top"/>
    </xf>
    <xf numFmtId="0" fontId="71" fillId="0" borderId="89" xfId="0" applyFont="1" applyBorder="1" applyAlignment="1">
      <alignment horizontal="left" vertical="top"/>
    </xf>
    <xf numFmtId="0" fontId="71" fillId="0" borderId="90" xfId="0" applyFont="1" applyBorder="1" applyAlignment="1">
      <alignment horizontal="left" vertical="top"/>
    </xf>
    <xf numFmtId="0" fontId="13" fillId="0" borderId="108" xfId="0" applyFont="1" applyBorder="1" applyAlignment="1">
      <alignment horizontal="left" vertical="center" indent="3"/>
    </xf>
    <xf numFmtId="0" fontId="13" fillId="0" borderId="109" xfId="0" applyFont="1" applyBorder="1" applyAlignment="1">
      <alignment horizontal="left" vertical="center" indent="3"/>
    </xf>
    <xf numFmtId="0" fontId="13" fillId="0" borderId="110" xfId="0" applyFont="1" applyBorder="1" applyAlignment="1">
      <alignment horizontal="left" vertical="center" indent="3"/>
    </xf>
    <xf numFmtId="0" fontId="13" fillId="0" borderId="111" xfId="0" applyFont="1" applyBorder="1" applyAlignment="1">
      <alignment horizontal="left" vertical="top" indent="3"/>
    </xf>
    <xf numFmtId="0" fontId="13" fillId="0" borderId="112" xfId="0" applyFont="1" applyBorder="1" applyAlignment="1">
      <alignment horizontal="left" vertical="top" indent="3"/>
    </xf>
    <xf numFmtId="0" fontId="13" fillId="0" borderId="113" xfId="0" applyFont="1" applyBorder="1" applyAlignment="1">
      <alignment horizontal="left" vertical="top" indent="3"/>
    </xf>
    <xf numFmtId="0" fontId="13" fillId="0" borderId="35" xfId="0" applyFont="1" applyBorder="1" applyAlignment="1">
      <alignment horizontal="left" vertical="center"/>
    </xf>
    <xf numFmtId="0" fontId="31" fillId="11" borderId="88" xfId="0" applyFont="1" applyFill="1" applyBorder="1" applyAlignment="1">
      <alignment horizontal="center"/>
    </xf>
    <xf numFmtId="0" fontId="31" fillId="11" borderId="89" xfId="0" applyFont="1" applyFill="1" applyBorder="1" applyAlignment="1">
      <alignment horizontal="center"/>
    </xf>
    <xf numFmtId="0" fontId="31" fillId="11" borderId="35" xfId="0" applyFont="1" applyFill="1" applyBorder="1" applyAlignment="1">
      <alignment horizontal="center"/>
    </xf>
    <xf numFmtId="0" fontId="31" fillId="11" borderId="36" xfId="0" applyFont="1" applyFill="1" applyBorder="1" applyAlignment="1">
      <alignment horizontal="center"/>
    </xf>
    <xf numFmtId="0" fontId="13" fillId="0" borderId="108" xfId="0" applyFont="1" applyBorder="1" applyAlignment="1">
      <alignment horizontal="left" vertical="center"/>
    </xf>
    <xf numFmtId="0" fontId="13" fillId="0" borderId="109" xfId="0" applyFont="1" applyBorder="1" applyAlignment="1">
      <alignment horizontal="left" vertical="center"/>
    </xf>
    <xf numFmtId="0" fontId="13" fillId="0" borderId="110" xfId="0" applyFont="1" applyBorder="1" applyAlignment="1">
      <alignment horizontal="left" vertical="center"/>
    </xf>
    <xf numFmtId="0" fontId="73" fillId="0" borderId="34" xfId="0" applyFont="1" applyBorder="1" applyAlignment="1">
      <alignment horizontal="left" vertical="top" wrapText="1"/>
    </xf>
    <xf numFmtId="0" fontId="57" fillId="0" borderId="11" xfId="2" applyFont="1" applyFill="1" applyBorder="1" applyAlignment="1">
      <alignment wrapText="1"/>
    </xf>
    <xf numFmtId="0" fontId="33" fillId="0" borderId="13" xfId="0" applyFont="1" applyBorder="1" applyAlignment="1">
      <alignment vertical="center" wrapText="1"/>
    </xf>
    <xf numFmtId="0" fontId="33" fillId="0" borderId="15" xfId="0" applyFont="1" applyBorder="1" applyAlignment="1">
      <alignment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5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3" fillId="0" borderId="11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0" fontId="33" fillId="0" borderId="10" xfId="0" applyFont="1" applyBorder="1" applyAlignment="1">
      <alignment vertical="center" wrapText="1"/>
    </xf>
    <xf numFmtId="0" fontId="33" fillId="0" borderId="12" xfId="0" applyFont="1" applyBorder="1" applyAlignment="1">
      <alignment vertical="center" wrapText="1"/>
    </xf>
    <xf numFmtId="0" fontId="33" fillId="0" borderId="92" xfId="0" applyFont="1" applyBorder="1" applyAlignment="1">
      <alignment horizontal="left" vertical="center"/>
    </xf>
    <xf numFmtId="0" fontId="33" fillId="0" borderId="93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1" fillId="0" borderId="0" xfId="0" applyFont="1" applyAlignment="1">
      <alignment horizontal="center"/>
    </xf>
    <xf numFmtId="0" fontId="31" fillId="0" borderId="11" xfId="0" applyFont="1" applyBorder="1" applyAlignment="1">
      <alignment wrapText="1"/>
    </xf>
    <xf numFmtId="0" fontId="41" fillId="0" borderId="10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53" fillId="0" borderId="71" xfId="0" applyFont="1" applyBorder="1" applyAlignment="1">
      <alignment horizontal="left" vertical="center" wrapText="1" indent="1"/>
    </xf>
    <xf numFmtId="0" fontId="53" fillId="0" borderId="4" xfId="0" applyFont="1" applyBorder="1" applyAlignment="1">
      <alignment horizontal="left" vertical="center" wrapText="1" indent="1"/>
    </xf>
    <xf numFmtId="0" fontId="53" fillId="0" borderId="3" xfId="0" applyFont="1" applyBorder="1" applyAlignment="1">
      <alignment horizontal="left" vertical="center" wrapText="1" indent="1"/>
    </xf>
    <xf numFmtId="0" fontId="37" fillId="0" borderId="78" xfId="0" applyFont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59" fillId="0" borderId="4" xfId="0" applyFont="1" applyBorder="1" applyAlignment="1">
      <alignment horizontal="left" vertical="center" wrapText="1" indent="1"/>
    </xf>
    <xf numFmtId="0" fontId="33" fillId="0" borderId="2" xfId="0" applyFont="1" applyBorder="1" applyAlignment="1">
      <alignment horizontal="left" vertical="center" indent="1"/>
    </xf>
    <xf numFmtId="0" fontId="33" fillId="0" borderId="5" xfId="0" applyFont="1" applyBorder="1" applyAlignment="1">
      <alignment horizontal="left" vertical="center" indent="1"/>
    </xf>
    <xf numFmtId="0" fontId="43" fillId="0" borderId="10" xfId="0" applyFont="1" applyBorder="1" applyAlignment="1">
      <alignment horizontal="left" vertical="center" wrapText="1"/>
    </xf>
    <xf numFmtId="0" fontId="0" fillId="5" borderId="26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43" fillId="0" borderId="21" xfId="0" applyFont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  <xf numFmtId="0" fontId="41" fillId="0" borderId="8" xfId="0" applyFont="1" applyBorder="1" applyAlignment="1">
      <alignment vertical="center" wrapText="1"/>
    </xf>
    <xf numFmtId="0" fontId="33" fillId="0" borderId="8" xfId="0" applyFont="1" applyBorder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5" fillId="0" borderId="41" xfId="0" applyFont="1" applyBorder="1" applyAlignment="1">
      <alignment horizontal="left" vertical="center" wrapText="1"/>
    </xf>
    <xf numFmtId="0" fontId="32" fillId="5" borderId="3" xfId="0" applyFont="1" applyFill="1" applyBorder="1" applyAlignment="1">
      <alignment vertical="center"/>
    </xf>
    <xf numFmtId="0" fontId="32" fillId="5" borderId="10" xfId="0" applyFont="1" applyFill="1" applyBorder="1" applyAlignment="1">
      <alignment vertical="center"/>
    </xf>
    <xf numFmtId="0" fontId="32" fillId="5" borderId="12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43" fillId="0" borderId="13" xfId="0" applyFont="1" applyBorder="1" applyAlignment="1">
      <alignment vertical="center" wrapText="1"/>
    </xf>
    <xf numFmtId="0" fontId="37" fillId="4" borderId="71" xfId="0" applyFont="1" applyFill="1" applyBorder="1" applyAlignment="1">
      <alignment horizontal="left" vertical="top"/>
    </xf>
    <xf numFmtId="0" fontId="37" fillId="4" borderId="72" xfId="0" applyFont="1" applyFill="1" applyBorder="1" applyAlignment="1">
      <alignment horizontal="left" vertical="top"/>
    </xf>
    <xf numFmtId="0" fontId="55" fillId="2" borderId="0" xfId="0" applyFont="1" applyFill="1" applyAlignment="1">
      <alignment horizontal="center"/>
    </xf>
    <xf numFmtId="0" fontId="32" fillId="0" borderId="0" xfId="0" applyFont="1" applyAlignment="1">
      <alignment horizontal="left" vertical="center" indent="1"/>
    </xf>
    <xf numFmtId="0" fontId="46" fillId="5" borderId="3" xfId="0" applyFont="1" applyFill="1" applyBorder="1" applyAlignment="1">
      <alignment vertical="center"/>
    </xf>
    <xf numFmtId="0" fontId="46" fillId="5" borderId="10" xfId="0" applyFont="1" applyFill="1" applyBorder="1" applyAlignment="1">
      <alignment vertical="center"/>
    </xf>
    <xf numFmtId="0" fontId="46" fillId="5" borderId="12" xfId="0" applyFont="1" applyFill="1" applyBorder="1" applyAlignment="1">
      <alignment vertical="center"/>
    </xf>
    <xf numFmtId="0" fontId="65" fillId="0" borderId="42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47" fillId="9" borderId="0" xfId="0" applyFont="1" applyFill="1" applyAlignment="1">
      <alignment horizontal="left"/>
    </xf>
    <xf numFmtId="0" fontId="33" fillId="0" borderId="46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 indent="2"/>
    </xf>
    <xf numFmtId="0" fontId="33" fillId="0" borderId="47" xfId="0" applyFont="1" applyBorder="1" applyAlignment="1">
      <alignment horizontal="left" vertical="center" indent="2"/>
    </xf>
    <xf numFmtId="0" fontId="33" fillId="0" borderId="48" xfId="0" applyFont="1" applyBorder="1" applyAlignment="1">
      <alignment horizontal="left" vertical="center" indent="2"/>
    </xf>
    <xf numFmtId="0" fontId="33" fillId="0" borderId="44" xfId="0" applyFont="1" applyBorder="1" applyAlignment="1">
      <alignment horizontal="left" vertical="center" indent="2"/>
    </xf>
    <xf numFmtId="0" fontId="33" fillId="0" borderId="0" xfId="0" applyFont="1" applyAlignment="1">
      <alignment horizontal="left" vertical="center" indent="2"/>
    </xf>
    <xf numFmtId="0" fontId="33" fillId="0" borderId="51" xfId="0" applyFont="1" applyBorder="1" applyAlignment="1">
      <alignment horizontal="left" vertical="center" indent="2"/>
    </xf>
    <xf numFmtId="0" fontId="33" fillId="0" borderId="52" xfId="0" applyFont="1" applyBorder="1" applyAlignment="1">
      <alignment horizontal="left" vertical="center" indent="2"/>
    </xf>
    <xf numFmtId="0" fontId="33" fillId="0" borderId="53" xfId="0" applyFont="1" applyBorder="1" applyAlignment="1">
      <alignment horizontal="left" vertical="center" indent="2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56" fillId="7" borderId="0" xfId="0" applyFont="1" applyFill="1" applyAlignment="1">
      <alignment horizontal="center"/>
    </xf>
    <xf numFmtId="0" fontId="58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47" fillId="9" borderId="0" xfId="0" applyFont="1" applyFill="1" applyAlignment="1">
      <alignment horizontal="left" wrapText="1"/>
    </xf>
    <xf numFmtId="0" fontId="49" fillId="6" borderId="42" xfId="1" applyFont="1" applyBorder="1" applyAlignment="1">
      <alignment horizontal="left" vertical="center"/>
    </xf>
    <xf numFmtId="0" fontId="32" fillId="6" borderId="73" xfId="1" applyFont="1" applyBorder="1" applyAlignment="1">
      <alignment horizontal="left" vertical="center"/>
    </xf>
    <xf numFmtId="0" fontId="49" fillId="6" borderId="3" xfId="1" applyFont="1" applyBorder="1" applyAlignment="1">
      <alignment horizontal="left" vertical="center"/>
    </xf>
    <xf numFmtId="0" fontId="32" fillId="6" borderId="10" xfId="1" applyFont="1" applyBorder="1" applyAlignment="1">
      <alignment horizontal="left" vertical="center"/>
    </xf>
    <xf numFmtId="0" fontId="32" fillId="6" borderId="12" xfId="1" applyFont="1" applyBorder="1" applyAlignment="1">
      <alignment horizontal="left" vertical="center"/>
    </xf>
    <xf numFmtId="0" fontId="10" fillId="0" borderId="74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47" fillId="0" borderId="25" xfId="0" applyFont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left" vertical="center"/>
    </xf>
    <xf numFmtId="0" fontId="15" fillId="0" borderId="0" xfId="0" applyFont="1" applyAlignment="1">
      <alignment horizontal="center" vertical="top" wrapText="1"/>
    </xf>
    <xf numFmtId="0" fontId="27" fillId="0" borderId="25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3" fillId="0" borderId="46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23" fillId="4" borderId="66" xfId="0" applyFont="1" applyFill="1" applyBorder="1" applyAlignment="1">
      <alignment horizontal="left" vertical="center" indent="2"/>
    </xf>
    <xf numFmtId="0" fontId="23" fillId="4" borderId="59" xfId="0" applyFont="1" applyFill="1" applyBorder="1" applyAlignment="1">
      <alignment horizontal="left" vertical="center" indent="2"/>
    </xf>
    <xf numFmtId="0" fontId="36" fillId="0" borderId="0" xfId="0" applyFont="1" applyAlignment="1">
      <alignment horizontal="center"/>
    </xf>
    <xf numFmtId="0" fontId="91" fillId="4" borderId="68" xfId="0" applyFont="1" applyFill="1" applyBorder="1" applyAlignment="1">
      <alignment horizontal="left" vertical="center" wrapText="1" indent="2"/>
    </xf>
    <xf numFmtId="0" fontId="32" fillId="4" borderId="60" xfId="0" applyFont="1" applyFill="1" applyBorder="1" applyAlignment="1">
      <alignment horizontal="left" vertical="center" indent="2"/>
    </xf>
    <xf numFmtId="0" fontId="32" fillId="4" borderId="60" xfId="0" applyFont="1" applyFill="1" applyBorder="1" applyAlignment="1">
      <alignment horizontal="left" vertical="center"/>
    </xf>
    <xf numFmtId="0" fontId="32" fillId="4" borderId="69" xfId="0" applyFont="1" applyFill="1" applyBorder="1" applyAlignment="1">
      <alignment horizontal="left" vertical="center"/>
    </xf>
    <xf numFmtId="0" fontId="10" fillId="4" borderId="63" xfId="0" applyFont="1" applyFill="1" applyBorder="1" applyAlignment="1">
      <alignment horizontal="center"/>
    </xf>
    <xf numFmtId="0" fontId="10" fillId="4" borderId="64" xfId="0" applyFont="1" applyFill="1" applyBorder="1" applyAlignment="1">
      <alignment horizontal="center"/>
    </xf>
    <xf numFmtId="0" fontId="10" fillId="4" borderId="65" xfId="0" applyFont="1" applyFill="1" applyBorder="1" applyAlignment="1">
      <alignment horizontal="center"/>
    </xf>
    <xf numFmtId="0" fontId="23" fillId="0" borderId="42" xfId="0" applyFont="1" applyBorder="1" applyAlignment="1">
      <alignment horizontal="left" vertical="center"/>
    </xf>
    <xf numFmtId="0" fontId="23" fillId="0" borderId="73" xfId="0" applyFont="1" applyBorder="1" applyAlignment="1">
      <alignment horizontal="left" vertical="center"/>
    </xf>
    <xf numFmtId="0" fontId="23" fillId="0" borderId="44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23" fillId="0" borderId="53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top" wrapText="1"/>
    </xf>
    <xf numFmtId="0" fontId="32" fillId="0" borderId="73" xfId="0" applyFont="1" applyBorder="1" applyAlignment="1">
      <alignment horizontal="left" vertical="top" wrapText="1"/>
    </xf>
    <xf numFmtId="0" fontId="40" fillId="4" borderId="68" xfId="0" applyFont="1" applyFill="1" applyBorder="1" applyAlignment="1">
      <alignment horizontal="left" vertical="center" indent="2"/>
    </xf>
    <xf numFmtId="0" fontId="31" fillId="4" borderId="60" xfId="0" applyFont="1" applyFill="1" applyBorder="1" applyAlignment="1">
      <alignment horizontal="left" vertical="center"/>
    </xf>
    <xf numFmtId="0" fontId="31" fillId="4" borderId="69" xfId="0" applyFont="1" applyFill="1" applyBorder="1" applyAlignment="1">
      <alignment horizontal="left" vertical="center"/>
    </xf>
    <xf numFmtId="0" fontId="40" fillId="4" borderId="70" xfId="0" applyFont="1" applyFill="1" applyBorder="1" applyAlignment="1">
      <alignment horizontal="left" vertical="top" wrapText="1" indent="2"/>
    </xf>
    <xf numFmtId="0" fontId="32" fillId="4" borderId="71" xfId="0" applyFont="1" applyFill="1" applyBorder="1" applyAlignment="1">
      <alignment horizontal="left" vertical="top" indent="2"/>
    </xf>
    <xf numFmtId="0" fontId="15" fillId="0" borderId="51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51" xfId="0" applyFont="1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60" fillId="0" borderId="43" xfId="0" quotePrefix="1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wrapText="1"/>
    </xf>
    <xf numFmtId="0" fontId="22" fillId="0" borderId="73" xfId="0" applyFont="1" applyBorder="1" applyAlignment="1">
      <alignment horizontal="left" vertical="center" wrapText="1"/>
    </xf>
    <xf numFmtId="0" fontId="61" fillId="0" borderId="42" xfId="0" applyFont="1" applyBorder="1" applyAlignment="1">
      <alignment horizontal="left" vertical="center"/>
    </xf>
    <xf numFmtId="0" fontId="61" fillId="0" borderId="43" xfId="0" applyFont="1" applyBorder="1" applyAlignment="1">
      <alignment horizontal="left" vertical="center"/>
    </xf>
    <xf numFmtId="0" fontId="61" fillId="0" borderId="51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61" fillId="0" borderId="53" xfId="0" applyFont="1" applyBorder="1" applyAlignment="1">
      <alignment horizontal="left" vertical="center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593271</xdr:colOff>
      <xdr:row>42</xdr:row>
      <xdr:rowOff>81642</xdr:rowOff>
    </xdr:from>
    <xdr:ext cx="3737834" cy="1049427"/>
    <xdr:pic>
      <xdr:nvPicPr>
        <xdr:cNvPr id="2" name="Picture 1">
          <a:extLst>
            <a:ext uri="{FF2B5EF4-FFF2-40B4-BE49-F238E27FC236}">
              <a16:creationId xmlns:a16="http://schemas.microsoft.com/office/drawing/2014/main" id="{52EF8C3E-62FC-4AE8-87C3-495E0E8B7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9"/>
        <a:stretch/>
      </xdr:blipFill>
      <xdr:spPr>
        <a:xfrm>
          <a:off x="3031671" y="7815942"/>
          <a:ext cx="3737834" cy="10494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593271</xdr:colOff>
      <xdr:row>33</xdr:row>
      <xdr:rowOff>81642</xdr:rowOff>
    </xdr:from>
    <xdr:ext cx="3737834" cy="1049427"/>
    <xdr:pic>
      <xdr:nvPicPr>
        <xdr:cNvPr id="2" name="Picture 1">
          <a:extLst>
            <a:ext uri="{FF2B5EF4-FFF2-40B4-BE49-F238E27FC236}">
              <a16:creationId xmlns:a16="http://schemas.microsoft.com/office/drawing/2014/main" id="{F67FB128-059B-4B13-B860-9612F0970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9"/>
        <a:stretch/>
      </xdr:blipFill>
      <xdr:spPr>
        <a:xfrm>
          <a:off x="2752271" y="9047842"/>
          <a:ext cx="3737834" cy="104942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1409700</xdr:colOff>
      <xdr:row>42</xdr:row>
      <xdr:rowOff>581025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9E7D68-DACB-0470-5F98-4DCE6D2F14D7}"/>
            </a:ext>
          </a:extLst>
        </xdr:cNvPr>
        <xdr:cNvSpPr txBox="1"/>
      </xdr:nvSpPr>
      <xdr:spPr>
        <a:xfrm>
          <a:off x="6362700" y="15440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jandro Segura" id="{17EF5077-EB2A-454C-B8AF-2677C9E2573C}" userId="S::asegura@smcgov.org::ba9560a4-f0db-44a6-9879-0e5fd468110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1-15T00:07:16.99" personId="{17EF5077-EB2A-454C-B8AF-2677C9E2573C}" id="{E34EC4C0-9B79-4E27-B628-287D085BB301}">
    <text xml:space="preserve">Complete Rows 8-14 prior to starting the Scoring. </text>
  </threadedComment>
  <threadedComment ref="E12" dT="2026-01-15T00:09:23.04" personId="{17EF5077-EB2A-454C-B8AF-2677C9E2573C}" id="{0B3CA9AB-572C-4734-A1BF-0D2951D2C7C4}">
    <text xml:space="preserve">Use Item #17.a (table) from application. </text>
  </threadedComment>
  <threadedComment ref="D36" dT="2026-01-15T00:10:14.39" personId="{17EF5077-EB2A-454C-B8AF-2677C9E2573C}" id="{1FAF46B1-FB5E-4997-AB22-F1BCA5A0A1B9}">
    <text xml:space="preserve">Application Sections to reference: 
#4. Provide a one sentence project summary. 
#11. Project Specific Narrative.
SMC ONLY Question #2. Detailed scope of work
</text>
  </threadedComment>
  <threadedComment ref="D37" dT="2026-01-15T00:10:36.03" personId="{17EF5077-EB2A-454C-B8AF-2677C9E2573C}" id="{579C8A00-3ED9-40CE-B1B8-DEFE3CE6EB1E}">
    <text xml:space="preserve">Application Sections to reference:  
-#11. Project Specific Narrative.
-#12. Assessment of Need.
-#17. Project Beneficiaries.
-#18. Populations Served. 
</text>
  </threadedComment>
  <threadedComment ref="D40" dT="2026-01-15T00:11:12.57" personId="{17EF5077-EB2A-454C-B8AF-2677C9E2573C}" id="{89566939-1A49-452A-B374-A65A8699C3EA}">
    <text xml:space="preserve">Application Sections to reference: 
-#14. Evaluation.
-#16. Impact.
-#19a. &amp; #19b. Demographics. 
</text>
  </threadedComment>
  <threadedComment ref="D41" dT="2026-01-15T00:11:39.48" personId="{17EF5077-EB2A-454C-B8AF-2677C9E2573C}" id="{55E7CBA1-B3DA-4C32-A937-2D646A27FE26}">
    <text xml:space="preserve">Application Sections to reference: 
-#11. Project Specific Narrative
-#14. Evaluation.
-#16. Impact.
</text>
  </threadedComment>
  <threadedComment ref="D42" dT="2026-01-15T00:12:39.43" personId="{17EF5077-EB2A-454C-B8AF-2677C9E2573C}" id="{1FDB0826-4664-44EB-B378-9DA8EEC5E23A}">
    <text>Application Sections to reference: 
-#13. Timeline.
-#16. Impact.</text>
  </threadedComment>
  <threadedComment ref="D43" dT="2026-01-15T00:13:40.66" personId="{17EF5077-EB2A-454C-B8AF-2677C9E2573C}" id="{06A0069B-76F5-4B71-A512-E4F37BAB3F83}">
    <text xml:space="preserve">Application Sections to reference: 
-#20. Leveraging.
Application Attachments to reference: 
-Attachment 7. Financial Documents (Audit &amp; Management Letters)
-Exhibit 7 – Sample Attestation of Financial Compliance
</text>
  </threadedComment>
  <threadedComment ref="D46" dT="2026-01-15T00:14:19.61" personId="{17EF5077-EB2A-454C-B8AF-2677C9E2573C}" id="{5E7AA1ED-DD69-4831-AE25-8A12CAE50D2E}">
    <text>Application Sections to reference: 
-#11. Project Specific Narrative.
-#13. Timeline.
-#16. Impact.
-SMC Only Question #2. Detailed scope of work</text>
  </threadedComment>
  <threadedComment ref="D47" dT="2026-01-15T00:14:48.99" personId="{17EF5077-EB2A-454C-B8AF-2677C9E2573C}" id="{963FD30A-DF23-4905-A9B1-C2A81FEBC1C5}">
    <text>Application Sections to reference: 
-#11. Project Specific Narrative.
-#13. Timeline.
-SMC Only Question #2. Detailed scope of work</text>
  </threadedComment>
  <threadedComment ref="D48" dT="2026-01-15T00:15:25.38" personId="{17EF5077-EB2A-454C-B8AF-2677C9E2573C}" id="{B9F97FAE-F99C-4478-BA97-1DC2AD38E7C8}">
    <text>Application Sections to reference: 
-#11. Project Specific Narrative.
-#13. Timeline.
-#14. Evaluation.
-#16. Impact.</text>
  </threadedComment>
  <threadedComment ref="D49" dT="2026-01-15T00:15:59.13" personId="{17EF5077-EB2A-454C-B8AF-2677C9E2573C}" id="{74F64CF3-2CFC-4548-8489-21BC962EA46A}">
    <text xml:space="preserve">Application Sections to reference: 
-#11. Project Specific Narrative.
-#13. Timeline.
-#15. Collaboration.
-SMC Only Question #2. Detailed scope of work. </text>
  </threadedComment>
  <threadedComment ref="D50" dT="2026-01-15T00:19:28.53" personId="{17EF5077-EB2A-454C-B8AF-2677C9E2573C}" id="{8F856841-4113-4BD2-83A6-E56B761411D7}">
    <text xml:space="preserve">Application Sections for reference: 
-#11. Project Specific Narrative.
-#15. Collaboration.
-#16. Impact.
-#20. Leveraging.
-SMC Only Question #2. Detailed scope of work. </text>
  </threadedComment>
  <threadedComment ref="D52" dT="2026-01-15T00:23:33.45" personId="{17EF5077-EB2A-454C-B8AF-2677C9E2573C}" id="{EC6657A7-E75B-4EDE-9752-BBAF1D1727EE}">
    <text>Application Sections for reference: 
-#11. Project Specific Narrative.
-#16. Impact. 
-#17. Project Beneficiaries.
-#20. Leveraging.
-Proposed Budget Narrative (under Table)
Application Attachments for reference: 
-Budget Attachments</text>
  </threadedComment>
  <threadedComment ref="D53" dT="2026-01-15T00:24:17.14" personId="{17EF5077-EB2A-454C-B8AF-2677C9E2573C}" id="{37D268D6-084E-463D-B624-95134B36B2DF}">
    <text>Application Sections for reference: 
-SMC Only Question #2. Detailed scope of work.
Application Attachments for reference: 
-Budget Attachments</text>
  </threadedComment>
  <threadedComment ref="D56" dT="2026-01-15T00:26:13.72" personId="{17EF5077-EB2A-454C-B8AF-2677C9E2573C}" id="{0045B251-D8EE-42EA-B80D-3F2060758D6A}">
    <text>Application Sections for reference: 
-#20. Leveraging.
-Additional Funding Table (after SMC Only question #2)
Application Attachments for reference: 
-Budget Attachments</text>
  </threadedComment>
  <threadedComment ref="D57" dT="2026-01-15T00:27:00.31" personId="{17EF5077-EB2A-454C-B8AF-2677C9E2573C}" id="{B13E6584-C94E-4C3D-AB46-90989626651A}">
    <text xml:space="preserve">Application Sections for reference: 
-#20. Leveraging.
</text>
  </threadedComment>
  <threadedComment ref="D58" dT="2026-01-15T00:27:25.98" personId="{17EF5077-EB2A-454C-B8AF-2677C9E2573C}" id="{3887DD1E-60DF-4AE7-8860-9146CA84CF91}">
    <text xml:space="preserve">Application Sections for reference: 
-#20. Leveraging.
</text>
  </threadedComment>
  <threadedComment ref="D59" dT="2026-01-15T00:27:51.88" personId="{17EF5077-EB2A-454C-B8AF-2677C9E2573C}" id="{213AFFE8-A474-4671-8CAE-C429BAB13A18}">
    <text>Application Sections for reference: 
-#20. Leveraging.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:b:/s/DOH_HCD/IQDPx5EVhadAR4CxQAGo-NqjAdCAXOCJdqA7afKDAmFr5DM?e=6TuNfT" TargetMode="External"/><Relationship Id="rId2" Type="http://schemas.openxmlformats.org/officeDocument/2006/relationships/hyperlink" Target="../../../../../../../../:p:/s/DOH_HCD/IQCHiOV6XeKgTr2RHdwlHoV1AaIERHn41o44j2d2ZAt83N4?e=WeOtRu" TargetMode="External"/><Relationship Id="rId1" Type="http://schemas.openxmlformats.org/officeDocument/2006/relationships/hyperlink" Target="../../../../../../../../:p:/s/DOH_HCD/IQCHiOV6XeKgTr2RHdwlHoV1AaIERHn41o44j2d2ZAt83N4?e=WeOtRu" TargetMode="External"/><Relationship Id="rId5" Type="http://schemas.openxmlformats.org/officeDocument/2006/relationships/hyperlink" Target="../../../../../../../../:b:/s/DOH_HCD/IQDPx5EVhadAR4CxQAGo-NqjAdCAXOCJdqA7afKDAmFr5DM?e=UqOVsB" TargetMode="External"/><Relationship Id="rId4" Type="http://schemas.openxmlformats.org/officeDocument/2006/relationships/hyperlink" Target="../../../../../../../../:b:/s/DOH_HCD/IQDPx5EVhadAR4CxQAGo-NqjAdCAXOCJdqA7afKDAmFr5DM?e=1sxRr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mcgov.org/media/156970/download?inline=" TargetMode="External"/><Relationship Id="rId1" Type="http://schemas.openxmlformats.org/officeDocument/2006/relationships/hyperlink" Target="../../../..\..\..\..\..\:b:\s\DOH_HCD\EWx-58SY4u1AjJoyaC7YBYwBk_HnMWhJQsYCi6XWCNX2-g?e=mZy57H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smcgov.org/media/156970/download?inline=" TargetMode="External"/><Relationship Id="rId1" Type="http://schemas.openxmlformats.org/officeDocument/2006/relationships/hyperlink" Target="../../../..\..\..\..\..\:b:\s\DOH_HCD\EWx-58SY4u1AjJoyaC7YBYwBk_HnMWhJQsYCi6XWCNX2-g?e=mZy57H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7005-DE24-475B-AC9C-87B173D18D8B}">
  <dimension ref="A1:E40"/>
  <sheetViews>
    <sheetView showGridLines="0" workbookViewId="0">
      <selection activeCell="J5" sqref="J5"/>
    </sheetView>
  </sheetViews>
  <sheetFormatPr defaultRowHeight="15" x14ac:dyDescent="0.25"/>
  <cols>
    <col min="1" max="1" width="8.7109375" style="34"/>
    <col min="2" max="2" width="5.85546875" customWidth="1"/>
    <col min="3" max="3" width="91.85546875" bestFit="1" customWidth="1"/>
    <col min="5" max="5" width="3.85546875" bestFit="1" customWidth="1"/>
  </cols>
  <sheetData>
    <row r="1" spans="1:5" x14ac:dyDescent="0.25">
      <c r="E1" s="19"/>
    </row>
    <row r="3" spans="1:5" ht="18.75" x14ac:dyDescent="0.3">
      <c r="B3" s="35" t="s">
        <v>0</v>
      </c>
    </row>
    <row r="5" spans="1:5" x14ac:dyDescent="0.25">
      <c r="A5" s="34" t="s">
        <v>1</v>
      </c>
      <c r="B5" t="s">
        <v>2</v>
      </c>
    </row>
    <row r="7" spans="1:5" x14ac:dyDescent="0.25">
      <c r="B7" s="34" t="s">
        <v>3</v>
      </c>
      <c r="C7" t="s">
        <v>4</v>
      </c>
    </row>
    <row r="8" spans="1:5" x14ac:dyDescent="0.25">
      <c r="B8" s="34" t="s">
        <v>5</v>
      </c>
      <c r="C8" t="s">
        <v>6</v>
      </c>
    </row>
    <row r="9" spans="1:5" x14ac:dyDescent="0.25">
      <c r="B9" s="34"/>
    </row>
    <row r="10" spans="1:5" x14ac:dyDescent="0.25">
      <c r="A10" s="34" t="s">
        <v>7</v>
      </c>
      <c r="B10" t="s">
        <v>8</v>
      </c>
    </row>
    <row r="15" spans="1:5" hidden="1" x14ac:dyDescent="0.25">
      <c r="B15" s="1" t="s">
        <v>9</v>
      </c>
    </row>
    <row r="16" spans="1:5" hidden="1" x14ac:dyDescent="0.25">
      <c r="B16" s="196" t="s">
        <v>10</v>
      </c>
    </row>
    <row r="17" spans="2:2" hidden="1" x14ac:dyDescent="0.25">
      <c r="B17" s="196" t="s">
        <v>11</v>
      </c>
    </row>
    <row r="38" spans="5:5" x14ac:dyDescent="0.25">
      <c r="E38" s="10"/>
    </row>
    <row r="39" spans="5:5" x14ac:dyDescent="0.25">
      <c r="E39" s="10"/>
    </row>
    <row r="40" spans="5:5" x14ac:dyDescent="0.25">
      <c r="E40" s="10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B02A-5380-49EA-B4E6-F13A5E5C1183}">
  <dimension ref="B1:I41"/>
  <sheetViews>
    <sheetView zoomScaleNormal="100" workbookViewId="0">
      <selection activeCell="G27" sqref="G27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">
        <v>13</v>
      </c>
    </row>
    <row r="2" spans="2:9" ht="22.5" customHeight="1" thickBot="1" x14ac:dyDescent="0.3">
      <c r="B2" s="216" t="s">
        <v>14</v>
      </c>
      <c r="C2" s="216"/>
      <c r="D2" s="216"/>
      <c r="E2" s="216"/>
      <c r="F2" s="216"/>
      <c r="G2" s="216"/>
      <c r="H2" s="216"/>
      <c r="I2" s="216"/>
    </row>
    <row r="4" spans="2:9" x14ac:dyDescent="0.25">
      <c r="B4" s="217" t="s">
        <v>15</v>
      </c>
      <c r="C4" s="217"/>
      <c r="D4" s="217"/>
      <c r="E4" s="217"/>
      <c r="F4" s="217"/>
      <c r="G4" s="217"/>
      <c r="H4" s="217"/>
      <c r="I4" s="190"/>
    </row>
    <row r="5" spans="2:9" x14ac:dyDescent="0.25">
      <c r="D5" s="4" t="s">
        <v>16</v>
      </c>
    </row>
    <row r="8" spans="2:9" x14ac:dyDescent="0.25">
      <c r="C8" s="18" t="s">
        <v>17</v>
      </c>
      <c r="E8" s="186"/>
      <c r="F8" s="2" t="s">
        <v>18</v>
      </c>
      <c r="G8" s="186"/>
    </row>
    <row r="9" spans="2:9" x14ac:dyDescent="0.25">
      <c r="C9" s="18" t="s">
        <v>19</v>
      </c>
      <c r="E9" s="186"/>
      <c r="F9" s="2" t="s">
        <v>20</v>
      </c>
      <c r="G9" s="186"/>
    </row>
    <row r="10" spans="2:9" x14ac:dyDescent="0.25">
      <c r="C10" s="18" t="s">
        <v>21</v>
      </c>
      <c r="E10" s="186"/>
      <c r="F10" s="2"/>
    </row>
    <row r="11" spans="2:9" x14ac:dyDescent="0.25">
      <c r="C11" s="18" t="s">
        <v>22</v>
      </c>
      <c r="E11" s="186"/>
    </row>
    <row r="14" spans="2:9" x14ac:dyDescent="0.25">
      <c r="B14" s="215" t="s">
        <v>23</v>
      </c>
      <c r="C14" s="215"/>
      <c r="D14" s="215"/>
      <c r="E14" s="215"/>
      <c r="F14" s="215"/>
      <c r="G14" s="215"/>
      <c r="H14" s="215"/>
      <c r="I14" s="189"/>
    </row>
    <row r="16" spans="2:9" x14ac:dyDescent="0.25">
      <c r="B16" s="33" t="s">
        <v>24</v>
      </c>
    </row>
    <row r="17" spans="2:4" x14ac:dyDescent="0.25">
      <c r="B17" s="196"/>
      <c r="C17" t="s">
        <v>25</v>
      </c>
    </row>
    <row r="18" spans="2:4" x14ac:dyDescent="0.25">
      <c r="C18" s="196"/>
      <c r="D18" t="s">
        <v>26</v>
      </c>
    </row>
    <row r="19" spans="2:4" x14ac:dyDescent="0.25">
      <c r="C19" s="196"/>
      <c r="D19" t="s">
        <v>27</v>
      </c>
    </row>
    <row r="20" spans="2:4" x14ac:dyDescent="0.25">
      <c r="B20" s="196"/>
      <c r="C20" t="s">
        <v>28</v>
      </c>
    </row>
    <row r="21" spans="2:4" x14ac:dyDescent="0.25">
      <c r="B21" s="196"/>
      <c r="C21" t="s">
        <v>29</v>
      </c>
    </row>
    <row r="22" spans="2:4" x14ac:dyDescent="0.25">
      <c r="B22" s="196"/>
      <c r="C22" t="s">
        <v>30</v>
      </c>
    </row>
    <row r="23" spans="2:4" x14ac:dyDescent="0.25">
      <c r="B23" s="196"/>
      <c r="C23" t="s">
        <v>31</v>
      </c>
    </row>
    <row r="24" spans="2:4" x14ac:dyDescent="0.25">
      <c r="C24" s="196"/>
      <c r="D24" t="s">
        <v>32</v>
      </c>
    </row>
    <row r="25" spans="2:4" x14ac:dyDescent="0.25">
      <c r="B25" s="196"/>
      <c r="C25" t="s">
        <v>33</v>
      </c>
    </row>
    <row r="26" spans="2:4" x14ac:dyDescent="0.25">
      <c r="B26" s="196"/>
      <c r="C26" t="s">
        <v>34</v>
      </c>
    </row>
    <row r="27" spans="2:4" x14ac:dyDescent="0.25">
      <c r="B27" s="196"/>
      <c r="C27" t="s">
        <v>35</v>
      </c>
    </row>
    <row r="28" spans="2:4" x14ac:dyDescent="0.25">
      <c r="C28" s="196"/>
      <c r="D28" t="s">
        <v>36</v>
      </c>
    </row>
    <row r="29" spans="2:4" x14ac:dyDescent="0.25">
      <c r="C29" s="196"/>
      <c r="D29" t="s">
        <v>37</v>
      </c>
    </row>
    <row r="30" spans="2:4" x14ac:dyDescent="0.25">
      <c r="B30" s="196"/>
      <c r="C30" t="s">
        <v>38</v>
      </c>
    </row>
    <row r="34" spans="2:3" x14ac:dyDescent="0.25">
      <c r="B34" s="197" t="s">
        <v>39</v>
      </c>
    </row>
    <row r="35" spans="2:3" x14ac:dyDescent="0.25">
      <c r="B35" s="196"/>
      <c r="C35" t="s">
        <v>40</v>
      </c>
    </row>
    <row r="36" spans="2:3" x14ac:dyDescent="0.25">
      <c r="B36" s="196"/>
      <c r="C36" t="s">
        <v>41</v>
      </c>
    </row>
    <row r="37" spans="2:3" x14ac:dyDescent="0.25">
      <c r="B37" s="196"/>
    </row>
    <row r="41" spans="2:3" x14ac:dyDescent="0.25">
      <c r="B41" s="2" t="s">
        <v>42</v>
      </c>
    </row>
  </sheetData>
  <mergeCells count="3">
    <mergeCell ref="B14:H14"/>
    <mergeCell ref="B2:I2"/>
    <mergeCell ref="B4:H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89E1-3757-4183-BD41-DE0914EB35EE}">
  <dimension ref="B1:J96"/>
  <sheetViews>
    <sheetView showGridLines="0" zoomScaleNormal="100" zoomScaleSheetLayoutView="70" workbookViewId="0">
      <selection activeCell="L15" sqref="L15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tr">
        <f>'Completion Checklist'!I1</f>
        <v>FY2021-2022 NOFA Review</v>
      </c>
    </row>
    <row r="2" spans="2:9" ht="22.5" customHeight="1" thickBot="1" x14ac:dyDescent="0.3">
      <c r="B2" s="216" t="s">
        <v>14</v>
      </c>
      <c r="C2" s="216"/>
      <c r="D2" s="216"/>
      <c r="E2" s="216"/>
      <c r="F2" s="216"/>
      <c r="G2" s="216"/>
      <c r="H2" s="216"/>
      <c r="I2" s="216"/>
    </row>
    <row r="4" spans="2:9" x14ac:dyDescent="0.25">
      <c r="B4" s="217" t="s">
        <v>15</v>
      </c>
      <c r="C4" s="217"/>
      <c r="D4" s="217"/>
      <c r="E4" s="217"/>
      <c r="F4" s="217"/>
      <c r="G4" s="217"/>
      <c r="H4" s="217"/>
      <c r="I4" s="190"/>
    </row>
    <row r="5" spans="2:9" x14ac:dyDescent="0.25">
      <c r="D5" s="4" t="s">
        <v>16</v>
      </c>
    </row>
    <row r="8" spans="2:9" x14ac:dyDescent="0.25">
      <c r="C8" s="18" t="s">
        <v>17</v>
      </c>
      <c r="E8" s="27">
        <f>'Completion Checklist'!E8</f>
        <v>0</v>
      </c>
      <c r="F8" s="2" t="s">
        <v>18</v>
      </c>
      <c r="G8" s="27">
        <f>'Completion Checklist'!G8</f>
        <v>0</v>
      </c>
    </row>
    <row r="9" spans="2:9" x14ac:dyDescent="0.25">
      <c r="C9" s="18" t="s">
        <v>19</v>
      </c>
      <c r="E9" s="27">
        <f>'Completion Checklist'!E9</f>
        <v>0</v>
      </c>
      <c r="F9" s="2" t="s">
        <v>20</v>
      </c>
      <c r="G9" s="27">
        <f>'Completion Checklist'!G9</f>
        <v>0</v>
      </c>
    </row>
    <row r="10" spans="2:9" x14ac:dyDescent="0.25">
      <c r="C10" s="18" t="s">
        <v>21</v>
      </c>
      <c r="E10" s="27">
        <f>'Completion Checklist'!E10</f>
        <v>0</v>
      </c>
      <c r="F10" s="2"/>
    </row>
    <row r="11" spans="2:9" x14ac:dyDescent="0.25">
      <c r="C11" s="18" t="s">
        <v>22</v>
      </c>
      <c r="E11" s="27">
        <f>'Completion Checklist'!E11</f>
        <v>0</v>
      </c>
    </row>
    <row r="13" spans="2:9" x14ac:dyDescent="0.25">
      <c r="C13" s="247" t="s">
        <v>43</v>
      </c>
      <c r="D13" s="248"/>
      <c r="E13" s="248"/>
      <c r="F13" s="248"/>
      <c r="G13" s="248"/>
      <c r="H13" s="249"/>
    </row>
    <row r="14" spans="2:9" ht="21.75" customHeight="1" x14ac:dyDescent="0.25">
      <c r="C14" s="199" t="s">
        <v>44</v>
      </c>
      <c r="D14" s="200"/>
      <c r="E14" s="200"/>
      <c r="F14" s="240" t="e">
        <f>I51+I57+I62+I70+I75</f>
        <v>#DIV/0!</v>
      </c>
      <c r="G14" s="240"/>
      <c r="H14" s="26"/>
    </row>
    <row r="15" spans="2:9" ht="21.75" customHeight="1" x14ac:dyDescent="0.25">
      <c r="C15" s="243" t="s">
        <v>45</v>
      </c>
      <c r="D15" s="244"/>
      <c r="E15" s="244"/>
      <c r="F15" s="241">
        <f>F89</f>
        <v>0</v>
      </c>
      <c r="G15" s="241"/>
      <c r="H15" s="25"/>
    </row>
    <row r="16" spans="2:9" ht="21.75" customHeight="1" x14ac:dyDescent="0.25">
      <c r="C16" s="245" t="s">
        <v>46</v>
      </c>
      <c r="D16" s="246"/>
      <c r="E16" s="246"/>
      <c r="F16" s="242">
        <f>B92</f>
        <v>0</v>
      </c>
      <c r="G16" s="242"/>
      <c r="H16" s="24"/>
    </row>
    <row r="18" spans="2:9" x14ac:dyDescent="0.25">
      <c r="B18" s="215" t="s">
        <v>23</v>
      </c>
      <c r="C18" s="215"/>
      <c r="D18" s="215"/>
      <c r="E18" s="215"/>
      <c r="F18" s="215"/>
      <c r="G18" s="215"/>
      <c r="H18" s="215"/>
      <c r="I18" s="189"/>
    </row>
    <row r="21" spans="2:9" x14ac:dyDescent="0.25">
      <c r="B21" s="197" t="s">
        <v>47</v>
      </c>
      <c r="C21" s="1" t="s">
        <v>48</v>
      </c>
      <c r="F21" s="1" t="s">
        <v>49</v>
      </c>
    </row>
    <row r="22" spans="2:9" x14ac:dyDescent="0.25">
      <c r="B22" s="18"/>
      <c r="C22" s="196"/>
      <c r="D22" s="228" t="s">
        <v>50</v>
      </c>
      <c r="E22" s="228"/>
      <c r="F22" s="230"/>
      <c r="G22" s="230"/>
      <c r="H22" s="230"/>
    </row>
    <row r="23" spans="2:9" x14ac:dyDescent="0.25">
      <c r="B23" s="18"/>
      <c r="C23" s="196"/>
      <c r="D23" s="228" t="s">
        <v>51</v>
      </c>
      <c r="E23" s="228"/>
      <c r="F23" s="230"/>
      <c r="G23" s="230"/>
      <c r="H23" s="230"/>
    </row>
    <row r="24" spans="2:9" x14ac:dyDescent="0.25">
      <c r="B24" s="18"/>
      <c r="C24" s="196"/>
      <c r="D24" s="228" t="s">
        <v>52</v>
      </c>
      <c r="E24" s="228"/>
      <c r="F24" s="230"/>
      <c r="G24" s="230"/>
      <c r="H24" s="230"/>
    </row>
    <row r="25" spans="2:9" x14ac:dyDescent="0.25">
      <c r="B25" s="18"/>
      <c r="C25" s="196"/>
      <c r="D25" s="228" t="s">
        <v>53</v>
      </c>
      <c r="E25" s="228"/>
      <c r="F25" s="230"/>
      <c r="G25" s="230"/>
      <c r="H25" s="230"/>
    </row>
    <row r="26" spans="2:9" x14ac:dyDescent="0.25">
      <c r="B26" s="18"/>
      <c r="C26" s="196"/>
      <c r="D26" s="228" t="s">
        <v>54</v>
      </c>
      <c r="E26" s="228"/>
      <c r="F26" s="230"/>
      <c r="G26" s="230"/>
      <c r="H26" s="230"/>
    </row>
    <row r="27" spans="2:9" x14ac:dyDescent="0.25">
      <c r="B27" s="18"/>
      <c r="C27" s="196"/>
      <c r="D27" s="228" t="s">
        <v>55</v>
      </c>
      <c r="E27" s="228"/>
      <c r="F27" s="230"/>
      <c r="G27" s="230"/>
      <c r="H27" s="230"/>
    </row>
    <row r="28" spans="2:9" x14ac:dyDescent="0.25">
      <c r="B28" s="18"/>
      <c r="C28" s="196"/>
      <c r="D28" s="228" t="s">
        <v>56</v>
      </c>
      <c r="E28" s="228"/>
      <c r="F28" s="230"/>
      <c r="G28" s="230"/>
      <c r="H28" s="230"/>
    </row>
    <row r="29" spans="2:9" x14ac:dyDescent="0.25">
      <c r="B29" s="18"/>
    </row>
    <row r="30" spans="2:9" x14ac:dyDescent="0.25">
      <c r="B30" s="197" t="s">
        <v>57</v>
      </c>
      <c r="C30" s="1" t="s">
        <v>58</v>
      </c>
    </row>
    <row r="31" spans="2:9" x14ac:dyDescent="0.25">
      <c r="B31" s="18"/>
      <c r="C31" s="185"/>
      <c r="D31" s="20" t="s">
        <v>59</v>
      </c>
      <c r="F31" s="232"/>
      <c r="G31" s="232"/>
      <c r="H31" s="232"/>
    </row>
    <row r="32" spans="2:9" x14ac:dyDescent="0.25">
      <c r="B32" s="18"/>
      <c r="C32" s="185"/>
      <c r="D32" s="20" t="s">
        <v>60</v>
      </c>
    </row>
    <row r="33" spans="2:9" x14ac:dyDescent="0.25">
      <c r="B33" s="18"/>
      <c r="C33" s="185"/>
      <c r="D33" s="20" t="s">
        <v>61</v>
      </c>
    </row>
    <row r="34" spans="2:9" x14ac:dyDescent="0.25">
      <c r="B34" s="18"/>
      <c r="C34" s="185"/>
      <c r="D34" s="20" t="s">
        <v>62</v>
      </c>
    </row>
    <row r="35" spans="2:9" x14ac:dyDescent="0.25">
      <c r="B35" s="18"/>
    </row>
    <row r="36" spans="2:9" x14ac:dyDescent="0.25">
      <c r="B36" s="197" t="s">
        <v>63</v>
      </c>
      <c r="C36" s="1" t="s">
        <v>64</v>
      </c>
    </row>
    <row r="37" spans="2:9" ht="67.5" customHeight="1" x14ac:dyDescent="0.25">
      <c r="B37" s="18"/>
      <c r="C37" s="231"/>
      <c r="D37" s="231"/>
      <c r="E37" s="231"/>
      <c r="F37" s="231"/>
      <c r="G37" s="231"/>
      <c r="H37" s="231"/>
    </row>
    <row r="40" spans="2:9" x14ac:dyDescent="0.25">
      <c r="B40" s="215" t="s">
        <v>65</v>
      </c>
      <c r="C40" s="215"/>
      <c r="D40" s="215"/>
      <c r="E40" s="215"/>
      <c r="F40" s="215"/>
      <c r="G40" s="215"/>
      <c r="H40" s="215"/>
      <c r="I40" s="189"/>
    </row>
    <row r="42" spans="2:9" ht="30.75" customHeight="1" x14ac:dyDescent="0.25">
      <c r="B42" s="239" t="s">
        <v>66</v>
      </c>
      <c r="C42" s="239"/>
      <c r="D42" s="239"/>
      <c r="E42" s="239"/>
      <c r="F42" s="239"/>
      <c r="G42" s="239"/>
      <c r="H42" s="239"/>
      <c r="I42" s="161"/>
    </row>
    <row r="43" spans="2:9" ht="19.5" customHeight="1" x14ac:dyDescent="0.25">
      <c r="B43"/>
      <c r="H43" s="192"/>
    </row>
    <row r="50" spans="2:9" x14ac:dyDescent="0.25">
      <c r="G50" s="1"/>
      <c r="H50" s="1"/>
      <c r="I50" s="1"/>
    </row>
    <row r="51" spans="2:9" x14ac:dyDescent="0.25">
      <c r="B51" s="11" t="s">
        <v>1</v>
      </c>
      <c r="C51" s="7"/>
      <c r="D51" s="218" t="s">
        <v>67</v>
      </c>
      <c r="E51" s="218"/>
      <c r="F51" s="218"/>
      <c r="G51" s="7" t="s">
        <v>68</v>
      </c>
      <c r="H51" s="7" t="s">
        <v>69</v>
      </c>
      <c r="I51" s="7" t="e">
        <f>AVERAGE(H52:I55)</f>
        <v>#DIV/0!</v>
      </c>
    </row>
    <row r="52" spans="2:9" s="10" customFormat="1" ht="33" customHeight="1" x14ac:dyDescent="0.25">
      <c r="B52" s="13" t="s">
        <v>70</v>
      </c>
      <c r="C52" s="193"/>
      <c r="D52" s="223" t="s">
        <v>71</v>
      </c>
      <c r="E52" s="223"/>
      <c r="F52" s="224"/>
      <c r="G52" s="21"/>
      <c r="H52" s="227"/>
      <c r="I52" s="227"/>
    </row>
    <row r="53" spans="2:9" s="10" customFormat="1" ht="33" customHeight="1" x14ac:dyDescent="0.25">
      <c r="B53" s="14" t="s">
        <v>72</v>
      </c>
      <c r="C53" s="194"/>
      <c r="D53" s="225" t="s">
        <v>73</v>
      </c>
      <c r="E53" s="225"/>
      <c r="F53" s="226"/>
      <c r="G53" s="198"/>
      <c r="H53" s="227"/>
      <c r="I53" s="227"/>
    </row>
    <row r="54" spans="2:9" s="10" customFormat="1" ht="33" customHeight="1" x14ac:dyDescent="0.25">
      <c r="B54" s="14" t="s">
        <v>74</v>
      </c>
      <c r="C54" s="194"/>
      <c r="D54" s="225" t="s">
        <v>75</v>
      </c>
      <c r="E54" s="225"/>
      <c r="F54" s="226"/>
      <c r="G54" s="198"/>
      <c r="H54" s="227"/>
      <c r="I54" s="227"/>
    </row>
    <row r="55" spans="2:9" s="10" customFormat="1" ht="33" customHeight="1" x14ac:dyDescent="0.25">
      <c r="B55" s="14" t="s">
        <v>76</v>
      </c>
      <c r="C55" s="194"/>
      <c r="D55" s="225" t="s">
        <v>77</v>
      </c>
      <c r="E55" s="225"/>
      <c r="F55" s="226"/>
      <c r="G55" s="198"/>
      <c r="H55" s="227"/>
      <c r="I55" s="227"/>
    </row>
    <row r="56" spans="2:9" x14ac:dyDescent="0.25">
      <c r="D56" s="229"/>
      <c r="E56" s="229"/>
      <c r="F56" s="229"/>
      <c r="H56" s="1"/>
      <c r="I56" s="1"/>
    </row>
    <row r="57" spans="2:9" ht="15" customHeight="1" x14ac:dyDescent="0.25">
      <c r="B57" s="11" t="s">
        <v>7</v>
      </c>
      <c r="C57" s="7"/>
      <c r="D57" s="218" t="s">
        <v>78</v>
      </c>
      <c r="E57" s="218"/>
      <c r="F57" s="218"/>
      <c r="G57" s="7" t="s">
        <v>68</v>
      </c>
      <c r="H57" s="7" t="s">
        <v>69</v>
      </c>
      <c r="I57" s="7" t="e">
        <f>AVERAGE(H58:I60)</f>
        <v>#DIV/0!</v>
      </c>
    </row>
    <row r="58" spans="2:9" s="10" customFormat="1" ht="33" customHeight="1" x14ac:dyDescent="0.25">
      <c r="B58" s="13" t="s">
        <v>70</v>
      </c>
      <c r="C58" s="193"/>
      <c r="D58" s="223" t="s">
        <v>79</v>
      </c>
      <c r="E58" s="223"/>
      <c r="F58" s="224"/>
      <c r="G58" s="22"/>
      <c r="H58" s="227"/>
      <c r="I58" s="227"/>
    </row>
    <row r="59" spans="2:9" s="10" customFormat="1" ht="33" customHeight="1" x14ac:dyDescent="0.25">
      <c r="B59" s="15" t="s">
        <v>72</v>
      </c>
      <c r="C59" s="8"/>
      <c r="D59" s="225" t="s">
        <v>80</v>
      </c>
      <c r="E59" s="225"/>
      <c r="F59" s="226"/>
      <c r="G59" s="198"/>
      <c r="H59" s="227"/>
      <c r="I59" s="227"/>
    </row>
    <row r="60" spans="2:9" s="10" customFormat="1" ht="33" customHeight="1" x14ac:dyDescent="0.25">
      <c r="B60" s="16" t="s">
        <v>74</v>
      </c>
      <c r="C60" s="16"/>
      <c r="D60" s="225" t="s">
        <v>81</v>
      </c>
      <c r="E60" s="225"/>
      <c r="F60" s="226"/>
      <c r="G60" s="198"/>
      <c r="H60" s="227"/>
      <c r="I60" s="227"/>
    </row>
    <row r="61" spans="2:9" x14ac:dyDescent="0.25">
      <c r="B61" s="12"/>
      <c r="C61" s="12"/>
      <c r="D61" s="222"/>
      <c r="E61" s="222"/>
      <c r="F61" s="222"/>
    </row>
    <row r="62" spans="2:9" x14ac:dyDescent="0.25">
      <c r="B62" s="11" t="s">
        <v>82</v>
      </c>
      <c r="C62" s="7"/>
      <c r="D62" s="218" t="s">
        <v>83</v>
      </c>
      <c r="E62" s="218"/>
      <c r="F62" s="218"/>
      <c r="G62" s="7" t="s">
        <v>68</v>
      </c>
      <c r="H62" s="7" t="s">
        <v>69</v>
      </c>
      <c r="I62" s="7" t="e">
        <f>AVERAGE(H63:I68)</f>
        <v>#DIV/0!</v>
      </c>
    </row>
    <row r="63" spans="2:9" s="10" customFormat="1" ht="33" customHeight="1" x14ac:dyDescent="0.25">
      <c r="B63" s="13" t="s">
        <v>70</v>
      </c>
      <c r="C63" s="193"/>
      <c r="D63" s="223" t="s">
        <v>84</v>
      </c>
      <c r="E63" s="223"/>
      <c r="F63" s="223"/>
      <c r="G63" s="22"/>
      <c r="H63" s="227"/>
      <c r="I63" s="227"/>
    </row>
    <row r="64" spans="2:9" s="10" customFormat="1" ht="33" customHeight="1" x14ac:dyDescent="0.25">
      <c r="B64" s="14" t="s">
        <v>72</v>
      </c>
      <c r="C64" s="194"/>
      <c r="D64" s="225" t="s">
        <v>85</v>
      </c>
      <c r="E64" s="225"/>
      <c r="F64" s="225"/>
      <c r="G64" s="23"/>
      <c r="H64" s="227"/>
      <c r="I64" s="227"/>
    </row>
    <row r="65" spans="2:10" s="10" customFormat="1" ht="33" customHeight="1" x14ac:dyDescent="0.25">
      <c r="B65" s="14" t="s">
        <v>74</v>
      </c>
      <c r="C65" s="194"/>
      <c r="D65" s="225" t="s">
        <v>86</v>
      </c>
      <c r="E65" s="225"/>
      <c r="F65" s="225"/>
      <c r="G65" s="198"/>
      <c r="H65" s="227"/>
      <c r="I65" s="227"/>
    </row>
    <row r="66" spans="2:10" s="10" customFormat="1" ht="33" customHeight="1" x14ac:dyDescent="0.25">
      <c r="B66" s="14" t="s">
        <v>76</v>
      </c>
      <c r="C66" s="194"/>
      <c r="D66" s="225" t="s">
        <v>87</v>
      </c>
      <c r="E66" s="225"/>
      <c r="F66" s="225"/>
      <c r="G66" s="23"/>
      <c r="H66" s="227"/>
      <c r="I66" s="227"/>
    </row>
    <row r="67" spans="2:10" s="10" customFormat="1" ht="33" customHeight="1" x14ac:dyDescent="0.25">
      <c r="B67" s="14" t="s">
        <v>88</v>
      </c>
      <c r="C67" s="194"/>
      <c r="D67" s="225" t="s">
        <v>89</v>
      </c>
      <c r="E67" s="225"/>
      <c r="F67" s="225"/>
      <c r="G67" s="198"/>
      <c r="H67" s="227"/>
      <c r="I67" s="227"/>
    </row>
    <row r="68" spans="2:10" s="10" customFormat="1" ht="33" customHeight="1" x14ac:dyDescent="0.25">
      <c r="B68" s="14" t="s">
        <v>90</v>
      </c>
      <c r="C68" s="194"/>
      <c r="D68" s="225" t="s">
        <v>91</v>
      </c>
      <c r="E68" s="225"/>
      <c r="F68" s="226"/>
      <c r="G68" s="21"/>
      <c r="H68" s="227"/>
      <c r="I68" s="227"/>
    </row>
    <row r="69" spans="2:10" x14ac:dyDescent="0.25">
      <c r="D69" s="222"/>
      <c r="E69" s="222"/>
      <c r="F69" s="222"/>
      <c r="H69" s="5"/>
    </row>
    <row r="70" spans="2:10" x14ac:dyDescent="0.25">
      <c r="B70" s="11" t="s">
        <v>92</v>
      </c>
      <c r="C70" s="7"/>
      <c r="D70" s="218" t="s">
        <v>93</v>
      </c>
      <c r="E70" s="218"/>
      <c r="F70" s="218"/>
      <c r="G70" s="7" t="s">
        <v>68</v>
      </c>
      <c r="H70" s="7" t="s">
        <v>69</v>
      </c>
      <c r="I70" s="7" t="e">
        <f>AVERAGE(H71:I73)</f>
        <v>#DIV/0!</v>
      </c>
    </row>
    <row r="71" spans="2:10" s="10" customFormat="1" ht="33" customHeight="1" x14ac:dyDescent="0.25">
      <c r="B71" s="16" t="s">
        <v>70</v>
      </c>
      <c r="D71" s="223" t="s">
        <v>94</v>
      </c>
      <c r="E71" s="223"/>
      <c r="F71" s="224"/>
      <c r="G71" s="22"/>
      <c r="H71" s="227"/>
      <c r="I71" s="227"/>
    </row>
    <row r="72" spans="2:10" s="10" customFormat="1" ht="33" customHeight="1" x14ac:dyDescent="0.25">
      <c r="B72" s="17" t="s">
        <v>72</v>
      </c>
      <c r="C72" s="191"/>
      <c r="D72" s="225" t="s">
        <v>95</v>
      </c>
      <c r="E72" s="225"/>
      <c r="F72" s="226"/>
      <c r="G72" s="198"/>
      <c r="H72" s="227"/>
      <c r="I72" s="227"/>
    </row>
    <row r="73" spans="2:10" s="10" customFormat="1" ht="33" customHeight="1" x14ac:dyDescent="0.25">
      <c r="B73" s="14" t="s">
        <v>74</v>
      </c>
      <c r="C73" s="194"/>
      <c r="D73" s="225" t="s">
        <v>96</v>
      </c>
      <c r="E73" s="225"/>
      <c r="F73" s="226"/>
      <c r="G73" s="198"/>
      <c r="H73" s="227"/>
      <c r="I73" s="227"/>
    </row>
    <row r="74" spans="2:10" x14ac:dyDescent="0.25">
      <c r="D74" s="222"/>
      <c r="E74" s="222"/>
      <c r="F74" s="222"/>
      <c r="H74" s="5"/>
    </row>
    <row r="75" spans="2:10" x14ac:dyDescent="0.25">
      <c r="B75" s="11" t="s">
        <v>97</v>
      </c>
      <c r="C75" s="7"/>
      <c r="D75" s="218" t="s">
        <v>98</v>
      </c>
      <c r="E75" s="218"/>
      <c r="F75" s="218"/>
      <c r="G75" s="7" t="s">
        <v>68</v>
      </c>
      <c r="H75" s="7" t="s">
        <v>69</v>
      </c>
      <c r="I75" s="7" t="e">
        <f>AVERAGE(H76:I78)</f>
        <v>#DIV/0!</v>
      </c>
    </row>
    <row r="76" spans="2:10" s="10" customFormat="1" ht="32.25" customHeight="1" x14ac:dyDescent="0.25">
      <c r="B76" s="13" t="s">
        <v>70</v>
      </c>
      <c r="D76" s="219" t="s">
        <v>99</v>
      </c>
      <c r="E76" s="219"/>
      <c r="F76" s="219"/>
      <c r="G76" s="21"/>
      <c r="H76" s="227"/>
      <c r="I76" s="227"/>
    </row>
    <row r="77" spans="2:10" s="10" customFormat="1" ht="33" customHeight="1" x14ac:dyDescent="0.25">
      <c r="B77" s="14" t="s">
        <v>72</v>
      </c>
      <c r="C77" s="191"/>
      <c r="D77" s="220" t="s">
        <v>100</v>
      </c>
      <c r="E77" s="220"/>
      <c r="F77" s="221"/>
      <c r="G77" s="198"/>
      <c r="H77" s="227"/>
      <c r="I77" s="227"/>
    </row>
    <row r="78" spans="2:10" s="10" customFormat="1" ht="33" customHeight="1" x14ac:dyDescent="0.25">
      <c r="B78" s="14" t="s">
        <v>74</v>
      </c>
      <c r="C78" s="194"/>
      <c r="D78" s="225" t="s">
        <v>101</v>
      </c>
      <c r="E78" s="225"/>
      <c r="F78" s="226"/>
      <c r="G78" s="198"/>
      <c r="H78" s="227"/>
      <c r="I78" s="227"/>
      <c r="J78" s="6"/>
    </row>
    <row r="79" spans="2:10" ht="15.75" customHeight="1" x14ac:dyDescent="0.25">
      <c r="B79" s="12"/>
      <c r="H79" s="5"/>
    </row>
    <row r="81" spans="2:9" x14ac:dyDescent="0.25">
      <c r="B81" s="197" t="s">
        <v>102</v>
      </c>
    </row>
    <row r="82" spans="2:9" x14ac:dyDescent="0.25">
      <c r="B82" s="2">
        <v>1</v>
      </c>
      <c r="C82" s="9"/>
      <c r="D82" s="238"/>
      <c r="E82" s="238"/>
      <c r="F82" s="238"/>
      <c r="G82" s="238"/>
      <c r="H82" s="238"/>
      <c r="I82" s="238"/>
    </row>
    <row r="83" spans="2:9" x14ac:dyDescent="0.25">
      <c r="B83" s="2">
        <v>2</v>
      </c>
      <c r="C83" s="9"/>
      <c r="D83" s="238"/>
      <c r="E83" s="238"/>
      <c r="F83" s="238"/>
      <c r="G83" s="238"/>
      <c r="H83" s="238"/>
      <c r="I83" s="238"/>
    </row>
    <row r="84" spans="2:9" x14ac:dyDescent="0.25">
      <c r="B84" s="2">
        <v>3</v>
      </c>
      <c r="C84" s="9"/>
      <c r="D84" s="238"/>
      <c r="E84" s="238"/>
      <c r="F84" s="238"/>
      <c r="G84" s="238"/>
      <c r="H84" s="238"/>
      <c r="I84" s="238"/>
    </row>
    <row r="85" spans="2:9" x14ac:dyDescent="0.25">
      <c r="B85" s="2">
        <v>4</v>
      </c>
      <c r="C85" s="9"/>
      <c r="D85" s="238"/>
      <c r="E85" s="238"/>
      <c r="F85" s="238"/>
      <c r="G85" s="238"/>
      <c r="H85" s="238"/>
      <c r="I85" s="238"/>
    </row>
    <row r="86" spans="2:9" x14ac:dyDescent="0.25">
      <c r="B86" s="2">
        <v>5</v>
      </c>
      <c r="C86" s="9"/>
      <c r="D86" s="238"/>
      <c r="E86" s="238"/>
      <c r="F86" s="238"/>
      <c r="G86" s="238"/>
      <c r="H86" s="238"/>
      <c r="I86" s="238"/>
    </row>
    <row r="89" spans="2:9" x14ac:dyDescent="0.25">
      <c r="B89" s="236" t="s">
        <v>103</v>
      </c>
      <c r="C89" s="236"/>
      <c r="D89" s="236"/>
      <c r="E89" s="237"/>
      <c r="F89" s="185"/>
    </row>
    <row r="90" spans="2:9" x14ac:dyDescent="0.25">
      <c r="B90" s="3"/>
      <c r="C90" s="1"/>
      <c r="D90" s="197"/>
      <c r="E90" s="1"/>
    </row>
    <row r="91" spans="2:9" x14ac:dyDescent="0.25">
      <c r="B91" s="197" t="s">
        <v>46</v>
      </c>
      <c r="C91" s="1"/>
      <c r="D91" s="197"/>
      <c r="E91" s="1"/>
    </row>
    <row r="92" spans="2:9" ht="36" customHeight="1" x14ac:dyDescent="0.25">
      <c r="B92" s="233"/>
      <c r="C92" s="234"/>
      <c r="D92" s="234"/>
      <c r="E92" s="234"/>
      <c r="F92" s="234"/>
      <c r="G92" s="234"/>
      <c r="H92" s="234"/>
      <c r="I92" s="235"/>
    </row>
    <row r="93" spans="2:9" x14ac:dyDescent="0.25">
      <c r="D93" s="18"/>
    </row>
    <row r="96" spans="2:9" x14ac:dyDescent="0.25">
      <c r="B96" s="2" t="s">
        <v>104</v>
      </c>
    </row>
  </sheetData>
  <mergeCells count="81">
    <mergeCell ref="B2:I2"/>
    <mergeCell ref="D22:E22"/>
    <mergeCell ref="D23:E23"/>
    <mergeCell ref="D24:E24"/>
    <mergeCell ref="B4:H4"/>
    <mergeCell ref="C13:H13"/>
    <mergeCell ref="D25:E25"/>
    <mergeCell ref="F14:G14"/>
    <mergeCell ref="F15:G15"/>
    <mergeCell ref="F16:G16"/>
    <mergeCell ref="C15:E15"/>
    <mergeCell ref="C16:E16"/>
    <mergeCell ref="F22:H22"/>
    <mergeCell ref="F23:H23"/>
    <mergeCell ref="F24:H24"/>
    <mergeCell ref="F25:H25"/>
    <mergeCell ref="B18:H18"/>
    <mergeCell ref="H76:I76"/>
    <mergeCell ref="H77:I77"/>
    <mergeCell ref="H78:I78"/>
    <mergeCell ref="D82:I82"/>
    <mergeCell ref="D83:I83"/>
    <mergeCell ref="D78:F78"/>
    <mergeCell ref="F26:H26"/>
    <mergeCell ref="H71:I71"/>
    <mergeCell ref="H72:I72"/>
    <mergeCell ref="H73:I73"/>
    <mergeCell ref="H58:I58"/>
    <mergeCell ref="H59:I59"/>
    <mergeCell ref="H60:I60"/>
    <mergeCell ref="H63:I63"/>
    <mergeCell ref="B42:H42"/>
    <mergeCell ref="H52:I52"/>
    <mergeCell ref="H53:I53"/>
    <mergeCell ref="H54:I54"/>
    <mergeCell ref="D58:F58"/>
    <mergeCell ref="D59:F59"/>
    <mergeCell ref="D60:F60"/>
    <mergeCell ref="D26:E26"/>
    <mergeCell ref="B92:I92"/>
    <mergeCell ref="B89:E89"/>
    <mergeCell ref="D84:I84"/>
    <mergeCell ref="D85:I85"/>
    <mergeCell ref="D86:I86"/>
    <mergeCell ref="D27:E27"/>
    <mergeCell ref="D56:F56"/>
    <mergeCell ref="D57:F57"/>
    <mergeCell ref="H55:I55"/>
    <mergeCell ref="D28:E28"/>
    <mergeCell ref="B40:H40"/>
    <mergeCell ref="F27:H27"/>
    <mergeCell ref="F28:H28"/>
    <mergeCell ref="C37:H37"/>
    <mergeCell ref="D51:F51"/>
    <mergeCell ref="D52:F52"/>
    <mergeCell ref="D53:F53"/>
    <mergeCell ref="D54:F54"/>
    <mergeCell ref="D55:F55"/>
    <mergeCell ref="F31:H31"/>
    <mergeCell ref="D68:F68"/>
    <mergeCell ref="H64:I64"/>
    <mergeCell ref="H65:I65"/>
    <mergeCell ref="H66:I66"/>
    <mergeCell ref="H67:I67"/>
    <mergeCell ref="H68:I68"/>
    <mergeCell ref="D66:F66"/>
    <mergeCell ref="D67:F67"/>
    <mergeCell ref="D61:F61"/>
    <mergeCell ref="D62:F62"/>
    <mergeCell ref="D63:F63"/>
    <mergeCell ref="D64:F64"/>
    <mergeCell ref="D65:F65"/>
    <mergeCell ref="D75:F75"/>
    <mergeCell ref="D76:F76"/>
    <mergeCell ref="D77:F77"/>
    <mergeCell ref="D69:F69"/>
    <mergeCell ref="D70:F70"/>
    <mergeCell ref="D71:F71"/>
    <mergeCell ref="D72:F72"/>
    <mergeCell ref="D73:F73"/>
    <mergeCell ref="D74:F74"/>
  </mergeCells>
  <pageMargins left="0.7" right="0.7" top="0.75" bottom="0.75" header="0.3" footer="0.3"/>
  <pageSetup scale="60" orientation="portrait" r:id="rId1"/>
  <rowBreaks count="1" manualBreakCount="1">
    <brk id="60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7D7F-BEDD-4416-A4D6-ABE75FACD037}">
  <dimension ref="B1:J87"/>
  <sheetViews>
    <sheetView showGridLines="0" zoomScaleNormal="100" zoomScaleSheetLayoutView="70" workbookViewId="0">
      <selection activeCell="D26" sqref="D26:E26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tr">
        <f>'Completion Checklist'!I1</f>
        <v>FY2021-2022 NOFA Review</v>
      </c>
    </row>
    <row r="2" spans="2:9" ht="22.5" customHeight="1" thickBot="1" x14ac:dyDescent="0.3">
      <c r="B2" s="216" t="s">
        <v>14</v>
      </c>
      <c r="C2" s="216"/>
      <c r="D2" s="216"/>
      <c r="E2" s="216"/>
      <c r="F2" s="216"/>
      <c r="G2" s="216"/>
      <c r="H2" s="216"/>
      <c r="I2" s="216"/>
    </row>
    <row r="4" spans="2:9" x14ac:dyDescent="0.25">
      <c r="B4" s="217" t="s">
        <v>15</v>
      </c>
      <c r="C4" s="217"/>
      <c r="D4" s="217"/>
      <c r="E4" s="217"/>
      <c r="F4" s="217"/>
      <c r="G4" s="217"/>
      <c r="H4" s="217"/>
      <c r="I4" s="190"/>
    </row>
    <row r="5" spans="2:9" x14ac:dyDescent="0.25">
      <c r="D5" s="4" t="s">
        <v>16</v>
      </c>
    </row>
    <row r="8" spans="2:9" x14ac:dyDescent="0.25">
      <c r="C8" s="18" t="s">
        <v>17</v>
      </c>
      <c r="E8" s="27">
        <f>'Completion Checklist'!E8</f>
        <v>0</v>
      </c>
      <c r="F8" s="2" t="s">
        <v>18</v>
      </c>
      <c r="G8" s="27">
        <f>'Completion Checklist'!G8</f>
        <v>0</v>
      </c>
    </row>
    <row r="9" spans="2:9" x14ac:dyDescent="0.25">
      <c r="C9" s="18" t="s">
        <v>19</v>
      </c>
      <c r="E9" s="27">
        <f>'Completion Checklist'!E9</f>
        <v>0</v>
      </c>
      <c r="F9" s="2" t="s">
        <v>20</v>
      </c>
      <c r="G9" s="27">
        <f>'Completion Checklist'!G9</f>
        <v>0</v>
      </c>
    </row>
    <row r="10" spans="2:9" x14ac:dyDescent="0.25">
      <c r="C10" s="18" t="s">
        <v>21</v>
      </c>
      <c r="E10" s="27">
        <f>'Completion Checklist'!E10</f>
        <v>0</v>
      </c>
      <c r="F10" s="2"/>
    </row>
    <row r="11" spans="2:9" x14ac:dyDescent="0.25">
      <c r="C11" s="18" t="s">
        <v>22</v>
      </c>
      <c r="E11" s="27">
        <f>'Completion Checklist'!E11</f>
        <v>0</v>
      </c>
    </row>
    <row r="13" spans="2:9" x14ac:dyDescent="0.25">
      <c r="C13" s="251" t="s">
        <v>43</v>
      </c>
      <c r="D13" s="252"/>
      <c r="E13" s="252"/>
      <c r="F13" s="252"/>
      <c r="G13" s="252"/>
      <c r="H13" s="253"/>
    </row>
    <row r="14" spans="2:9" ht="21.75" customHeight="1" x14ac:dyDescent="0.25">
      <c r="C14" s="201" t="s">
        <v>44</v>
      </c>
      <c r="D14" s="202"/>
      <c r="E14" s="202"/>
      <c r="F14" s="254" t="e">
        <f>I42+I48+I53+I61+I66</f>
        <v>#DIV/0!</v>
      </c>
      <c r="G14" s="254"/>
      <c r="H14" s="43"/>
    </row>
    <row r="15" spans="2:9" ht="21.75" customHeight="1" x14ac:dyDescent="0.25">
      <c r="C15" s="255" t="s">
        <v>45</v>
      </c>
      <c r="D15" s="256"/>
      <c r="E15" s="256"/>
      <c r="F15" s="257">
        <f>F80</f>
        <v>0</v>
      </c>
      <c r="G15" s="257"/>
      <c r="H15" s="38"/>
    </row>
    <row r="16" spans="2:9" ht="21.75" customHeight="1" x14ac:dyDescent="0.25">
      <c r="C16" s="258" t="s">
        <v>46</v>
      </c>
      <c r="D16" s="259"/>
      <c r="E16" s="259"/>
      <c r="F16" s="260">
        <f>B83</f>
        <v>0</v>
      </c>
      <c r="G16" s="260"/>
      <c r="H16" s="39"/>
    </row>
    <row r="18" spans="2:9" x14ac:dyDescent="0.25">
      <c r="B18" s="215" t="s">
        <v>23</v>
      </c>
      <c r="C18" s="215"/>
      <c r="D18" s="215"/>
      <c r="E18" s="215"/>
      <c r="F18" s="215"/>
      <c r="G18" s="215"/>
      <c r="H18" s="215"/>
      <c r="I18" s="189"/>
    </row>
    <row r="21" spans="2:9" x14ac:dyDescent="0.25">
      <c r="B21" s="197" t="s">
        <v>47</v>
      </c>
      <c r="C21" s="1" t="s">
        <v>48</v>
      </c>
      <c r="F21" s="1" t="s">
        <v>49</v>
      </c>
    </row>
    <row r="22" spans="2:9" x14ac:dyDescent="0.25">
      <c r="B22" s="18"/>
      <c r="C22" s="40"/>
      <c r="D22" s="228" t="s">
        <v>50</v>
      </c>
      <c r="E22" s="228"/>
      <c r="F22" s="250"/>
      <c r="G22" s="250"/>
      <c r="H22" s="250"/>
    </row>
    <row r="23" spans="2:9" x14ac:dyDescent="0.25">
      <c r="B23" s="18"/>
      <c r="C23" s="40"/>
      <c r="D23" s="228" t="s">
        <v>51</v>
      </c>
      <c r="E23" s="228"/>
      <c r="F23" s="250"/>
      <c r="G23" s="250"/>
      <c r="H23" s="250"/>
    </row>
    <row r="24" spans="2:9" x14ac:dyDescent="0.25">
      <c r="B24" s="18"/>
      <c r="C24" s="40"/>
      <c r="D24" s="228" t="s">
        <v>52</v>
      </c>
      <c r="E24" s="228"/>
      <c r="F24" s="250"/>
      <c r="G24" s="250"/>
      <c r="H24" s="250"/>
    </row>
    <row r="25" spans="2:9" x14ac:dyDescent="0.25">
      <c r="B25" s="18"/>
      <c r="C25" s="40"/>
      <c r="D25" s="228" t="s">
        <v>53</v>
      </c>
      <c r="E25" s="228"/>
      <c r="F25" s="250"/>
      <c r="G25" s="250"/>
      <c r="H25" s="250"/>
    </row>
    <row r="26" spans="2:9" x14ac:dyDescent="0.25">
      <c r="B26" s="18"/>
      <c r="C26" s="40"/>
      <c r="D26" s="228" t="s">
        <v>54</v>
      </c>
      <c r="E26" s="228"/>
      <c r="F26" s="250"/>
      <c r="G26" s="250"/>
      <c r="H26" s="250"/>
    </row>
    <row r="27" spans="2:9" x14ac:dyDescent="0.25">
      <c r="B27" s="18"/>
      <c r="C27" s="40"/>
      <c r="D27" s="228" t="s">
        <v>55</v>
      </c>
      <c r="E27" s="228"/>
      <c r="F27" s="250"/>
      <c r="G27" s="250"/>
      <c r="H27" s="250"/>
    </row>
    <row r="28" spans="2:9" x14ac:dyDescent="0.25">
      <c r="B28" s="18"/>
      <c r="C28" s="40"/>
      <c r="D28" s="228" t="s">
        <v>56</v>
      </c>
      <c r="E28" s="228"/>
      <c r="F28" s="250"/>
      <c r="G28" s="250"/>
      <c r="H28" s="250"/>
    </row>
    <row r="29" spans="2:9" x14ac:dyDescent="0.25">
      <c r="B29" s="18"/>
    </row>
    <row r="31" spans="2:9" x14ac:dyDescent="0.25">
      <c r="B31" s="215" t="s">
        <v>65</v>
      </c>
      <c r="C31" s="215"/>
      <c r="D31" s="215"/>
      <c r="E31" s="215"/>
      <c r="F31" s="215"/>
      <c r="G31" s="215"/>
      <c r="H31" s="215"/>
      <c r="I31" s="189"/>
    </row>
    <row r="33" spans="2:9" ht="30.75" customHeight="1" x14ac:dyDescent="0.25">
      <c r="B33" s="239" t="s">
        <v>66</v>
      </c>
      <c r="C33" s="239"/>
      <c r="D33" s="239"/>
      <c r="E33" s="239"/>
      <c r="F33" s="239"/>
      <c r="G33" s="239"/>
      <c r="H33" s="239"/>
      <c r="I33" s="161"/>
    </row>
    <row r="34" spans="2:9" ht="19.5" customHeight="1" x14ac:dyDescent="0.25">
      <c r="B34"/>
      <c r="H34" s="192"/>
    </row>
    <row r="41" spans="2:9" x14ac:dyDescent="0.25">
      <c r="G41" s="1"/>
      <c r="H41" s="1"/>
      <c r="I41" s="1"/>
    </row>
    <row r="42" spans="2:9" x14ac:dyDescent="0.25">
      <c r="B42" s="11" t="s">
        <v>1</v>
      </c>
      <c r="C42" s="7"/>
      <c r="D42" s="218" t="s">
        <v>67</v>
      </c>
      <c r="E42" s="218"/>
      <c r="F42" s="218"/>
      <c r="G42" s="7" t="s">
        <v>68</v>
      </c>
      <c r="H42" s="7" t="s">
        <v>69</v>
      </c>
      <c r="I42" s="7" t="e">
        <f>AVERAGE(H43:I46)</f>
        <v>#DIV/0!</v>
      </c>
    </row>
    <row r="43" spans="2:9" s="10" customFormat="1" ht="33" customHeight="1" x14ac:dyDescent="0.25">
      <c r="B43" s="13" t="s">
        <v>70</v>
      </c>
      <c r="C43" s="193"/>
      <c r="D43" s="223" t="s">
        <v>71</v>
      </c>
      <c r="E43" s="223"/>
      <c r="F43" s="224"/>
      <c r="G43" s="45"/>
      <c r="H43" s="261"/>
      <c r="I43" s="261"/>
    </row>
    <row r="44" spans="2:9" s="10" customFormat="1" ht="33" customHeight="1" x14ac:dyDescent="0.25">
      <c r="B44" s="14" t="s">
        <v>72</v>
      </c>
      <c r="C44" s="194"/>
      <c r="D44" s="225" t="s">
        <v>73</v>
      </c>
      <c r="E44" s="225"/>
      <c r="F44" s="226"/>
      <c r="G44" s="203"/>
      <c r="H44" s="261"/>
      <c r="I44" s="261"/>
    </row>
    <row r="45" spans="2:9" s="10" customFormat="1" ht="33" customHeight="1" x14ac:dyDescent="0.25">
      <c r="B45" s="14" t="s">
        <v>74</v>
      </c>
      <c r="C45" s="194"/>
      <c r="D45" s="225" t="s">
        <v>75</v>
      </c>
      <c r="E45" s="225"/>
      <c r="F45" s="226"/>
      <c r="G45" s="203"/>
      <c r="H45" s="261"/>
      <c r="I45" s="261"/>
    </row>
    <row r="46" spans="2:9" s="10" customFormat="1" ht="33" customHeight="1" x14ac:dyDescent="0.25">
      <c r="B46" s="14" t="s">
        <v>76</v>
      </c>
      <c r="C46" s="194"/>
      <c r="D46" s="225" t="s">
        <v>77</v>
      </c>
      <c r="E46" s="225"/>
      <c r="F46" s="226"/>
      <c r="G46" s="203"/>
      <c r="H46" s="261"/>
      <c r="I46" s="261"/>
    </row>
    <row r="47" spans="2:9" x14ac:dyDescent="0.25">
      <c r="D47" s="229"/>
      <c r="E47" s="229"/>
      <c r="F47" s="229"/>
      <c r="H47" s="1"/>
      <c r="I47" s="1"/>
    </row>
    <row r="48" spans="2:9" ht="15" customHeight="1" x14ac:dyDescent="0.25">
      <c r="B48" s="11" t="s">
        <v>7</v>
      </c>
      <c r="C48" s="7"/>
      <c r="D48" s="218" t="s">
        <v>78</v>
      </c>
      <c r="E48" s="218"/>
      <c r="F48" s="218"/>
      <c r="G48" s="7" t="s">
        <v>68</v>
      </c>
      <c r="H48" s="7" t="s">
        <v>69</v>
      </c>
      <c r="I48" s="7" t="e">
        <f>AVERAGE(H49:I51)</f>
        <v>#DIV/0!</v>
      </c>
    </row>
    <row r="49" spans="2:9" s="10" customFormat="1" ht="33" customHeight="1" x14ac:dyDescent="0.25">
      <c r="B49" s="13" t="s">
        <v>70</v>
      </c>
      <c r="C49" s="193"/>
      <c r="D49" s="223" t="s">
        <v>79</v>
      </c>
      <c r="E49" s="223"/>
      <c r="F49" s="224"/>
      <c r="G49" s="41"/>
      <c r="H49" s="261"/>
      <c r="I49" s="261"/>
    </row>
    <row r="50" spans="2:9" s="10" customFormat="1" ht="33" customHeight="1" x14ac:dyDescent="0.25">
      <c r="B50" s="15" t="s">
        <v>72</v>
      </c>
      <c r="C50" s="8"/>
      <c r="D50" s="225" t="s">
        <v>80</v>
      </c>
      <c r="E50" s="225"/>
      <c r="F50" s="226"/>
      <c r="G50" s="203"/>
      <c r="H50" s="261"/>
      <c r="I50" s="261"/>
    </row>
    <row r="51" spans="2:9" s="10" customFormat="1" ht="33" customHeight="1" x14ac:dyDescent="0.25">
      <c r="B51" s="16" t="s">
        <v>74</v>
      </c>
      <c r="C51" s="16"/>
      <c r="D51" s="225" t="s">
        <v>81</v>
      </c>
      <c r="E51" s="225"/>
      <c r="F51" s="226"/>
      <c r="G51" s="203"/>
      <c r="H51" s="261"/>
      <c r="I51" s="261"/>
    </row>
    <row r="52" spans="2:9" x14ac:dyDescent="0.25">
      <c r="B52" s="12"/>
      <c r="C52" s="12"/>
      <c r="D52" s="222"/>
      <c r="E52" s="222"/>
      <c r="F52" s="222"/>
    </row>
    <row r="53" spans="2:9" x14ac:dyDescent="0.25">
      <c r="B53" s="11" t="s">
        <v>82</v>
      </c>
      <c r="C53" s="7"/>
      <c r="D53" s="218" t="s">
        <v>83</v>
      </c>
      <c r="E53" s="218"/>
      <c r="F53" s="218"/>
      <c r="G53" s="7" t="s">
        <v>68</v>
      </c>
      <c r="H53" s="7" t="s">
        <v>69</v>
      </c>
      <c r="I53" s="7" t="e">
        <f>AVERAGE(H54:I59)</f>
        <v>#DIV/0!</v>
      </c>
    </row>
    <row r="54" spans="2:9" s="10" customFormat="1" ht="33" customHeight="1" x14ac:dyDescent="0.25">
      <c r="B54" s="13" t="s">
        <v>70</v>
      </c>
      <c r="C54" s="193"/>
      <c r="D54" s="223" t="s">
        <v>84</v>
      </c>
      <c r="E54" s="223"/>
      <c r="F54" s="223"/>
      <c r="G54" s="41"/>
      <c r="H54" s="261"/>
      <c r="I54" s="261"/>
    </row>
    <row r="55" spans="2:9" s="10" customFormat="1" ht="33" customHeight="1" x14ac:dyDescent="0.25">
      <c r="B55" s="14" t="s">
        <v>72</v>
      </c>
      <c r="C55" s="194"/>
      <c r="D55" s="225" t="s">
        <v>85</v>
      </c>
      <c r="E55" s="225"/>
      <c r="F55" s="225"/>
      <c r="G55" s="42"/>
      <c r="H55" s="261"/>
      <c r="I55" s="261"/>
    </row>
    <row r="56" spans="2:9" s="10" customFormat="1" ht="33" customHeight="1" x14ac:dyDescent="0.25">
      <c r="B56" s="14" t="s">
        <v>74</v>
      </c>
      <c r="C56" s="194"/>
      <c r="D56" s="225" t="s">
        <v>86</v>
      </c>
      <c r="E56" s="225"/>
      <c r="F56" s="225"/>
      <c r="G56" s="203"/>
      <c r="H56" s="261"/>
      <c r="I56" s="261"/>
    </row>
    <row r="57" spans="2:9" s="10" customFormat="1" ht="33" customHeight="1" x14ac:dyDescent="0.25">
      <c r="B57" s="14" t="s">
        <v>76</v>
      </c>
      <c r="C57" s="194"/>
      <c r="D57" s="225" t="s">
        <v>87</v>
      </c>
      <c r="E57" s="225"/>
      <c r="F57" s="225"/>
      <c r="G57" s="42"/>
      <c r="H57" s="261"/>
      <c r="I57" s="261"/>
    </row>
    <row r="58" spans="2:9" s="10" customFormat="1" ht="33" customHeight="1" x14ac:dyDescent="0.25">
      <c r="B58" s="14" t="s">
        <v>88</v>
      </c>
      <c r="C58" s="194"/>
      <c r="D58" s="225" t="s">
        <v>89</v>
      </c>
      <c r="E58" s="225"/>
      <c r="F58" s="225"/>
      <c r="G58" s="203"/>
      <c r="H58" s="261"/>
      <c r="I58" s="261"/>
    </row>
    <row r="59" spans="2:9" s="10" customFormat="1" ht="33" customHeight="1" x14ac:dyDescent="0.25">
      <c r="B59" s="14" t="s">
        <v>90</v>
      </c>
      <c r="C59" s="194"/>
      <c r="D59" s="225" t="s">
        <v>91</v>
      </c>
      <c r="E59" s="225"/>
      <c r="F59" s="226"/>
      <c r="G59" s="45"/>
      <c r="H59" s="261"/>
      <c r="I59" s="261"/>
    </row>
    <row r="60" spans="2:9" x14ac:dyDescent="0.25">
      <c r="D60" s="222"/>
      <c r="E60" s="222"/>
      <c r="F60" s="222"/>
      <c r="H60" s="5"/>
    </row>
    <row r="61" spans="2:9" x14ac:dyDescent="0.25">
      <c r="B61" s="11" t="s">
        <v>92</v>
      </c>
      <c r="C61" s="7"/>
      <c r="D61" s="218" t="s">
        <v>93</v>
      </c>
      <c r="E61" s="218"/>
      <c r="F61" s="218"/>
      <c r="G61" s="7" t="s">
        <v>68</v>
      </c>
      <c r="H61" s="7" t="s">
        <v>69</v>
      </c>
      <c r="I61" s="7" t="e">
        <f>AVERAGE(H62:I64)</f>
        <v>#DIV/0!</v>
      </c>
    </row>
    <row r="62" spans="2:9" s="10" customFormat="1" ht="33" customHeight="1" x14ac:dyDescent="0.25">
      <c r="B62" s="16" t="s">
        <v>70</v>
      </c>
      <c r="D62" s="223" t="s">
        <v>94</v>
      </c>
      <c r="E62" s="223"/>
      <c r="F62" s="224"/>
      <c r="G62" s="41"/>
      <c r="H62" s="261"/>
      <c r="I62" s="261"/>
    </row>
    <row r="63" spans="2:9" s="10" customFormat="1" ht="33" customHeight="1" x14ac:dyDescent="0.25">
      <c r="B63" s="17" t="s">
        <v>72</v>
      </c>
      <c r="C63" s="191"/>
      <c r="D63" s="225" t="s">
        <v>95</v>
      </c>
      <c r="E63" s="225"/>
      <c r="F63" s="226"/>
      <c r="G63" s="203"/>
      <c r="H63" s="261"/>
      <c r="I63" s="261"/>
    </row>
    <row r="64" spans="2:9" s="10" customFormat="1" ht="33" customHeight="1" x14ac:dyDescent="0.25">
      <c r="B64" s="14" t="s">
        <v>74</v>
      </c>
      <c r="C64" s="194"/>
      <c r="D64" s="225" t="s">
        <v>96</v>
      </c>
      <c r="E64" s="225"/>
      <c r="F64" s="226"/>
      <c r="G64" s="203"/>
      <c r="H64" s="261"/>
      <c r="I64" s="261"/>
    </row>
    <row r="65" spans="2:10" x14ac:dyDescent="0.25">
      <c r="D65" s="222"/>
      <c r="E65" s="222"/>
      <c r="F65" s="222"/>
      <c r="H65" s="5"/>
    </row>
    <row r="66" spans="2:10" x14ac:dyDescent="0.25">
      <c r="B66" s="11" t="s">
        <v>97</v>
      </c>
      <c r="C66" s="7"/>
      <c r="D66" s="218" t="s">
        <v>98</v>
      </c>
      <c r="E66" s="218"/>
      <c r="F66" s="218"/>
      <c r="G66" s="7" t="s">
        <v>68</v>
      </c>
      <c r="H66" s="7" t="s">
        <v>69</v>
      </c>
      <c r="I66" s="7" t="e">
        <f>AVERAGE(H67:I69)</f>
        <v>#DIV/0!</v>
      </c>
    </row>
    <row r="67" spans="2:10" s="10" customFormat="1" ht="32.25" customHeight="1" x14ac:dyDescent="0.25">
      <c r="B67" s="13" t="s">
        <v>70</v>
      </c>
      <c r="D67" s="219" t="s">
        <v>99</v>
      </c>
      <c r="E67" s="219"/>
      <c r="F67" s="219"/>
      <c r="G67" s="45"/>
      <c r="H67" s="261"/>
      <c r="I67" s="261"/>
    </row>
    <row r="68" spans="2:10" s="10" customFormat="1" ht="33" customHeight="1" x14ac:dyDescent="0.25">
      <c r="B68" s="14" t="s">
        <v>72</v>
      </c>
      <c r="C68" s="191"/>
      <c r="D68" s="220" t="s">
        <v>100</v>
      </c>
      <c r="E68" s="220"/>
      <c r="F68" s="221"/>
      <c r="G68" s="203"/>
      <c r="H68" s="261"/>
      <c r="I68" s="261"/>
    </row>
    <row r="69" spans="2:10" s="10" customFormat="1" ht="33" customHeight="1" x14ac:dyDescent="0.25">
      <c r="B69" s="14" t="s">
        <v>74</v>
      </c>
      <c r="C69" s="194"/>
      <c r="D69" s="225" t="s">
        <v>101</v>
      </c>
      <c r="E69" s="225"/>
      <c r="F69" s="226"/>
      <c r="G69" s="203"/>
      <c r="H69" s="261"/>
      <c r="I69" s="261"/>
      <c r="J69" s="6"/>
    </row>
    <row r="70" spans="2:10" ht="15.75" customHeight="1" x14ac:dyDescent="0.25">
      <c r="B70" s="12"/>
      <c r="H70" s="5"/>
    </row>
    <row r="72" spans="2:10" x14ac:dyDescent="0.25">
      <c r="B72" s="197" t="s">
        <v>102</v>
      </c>
    </row>
    <row r="73" spans="2:10" x14ac:dyDescent="0.25">
      <c r="B73" s="2">
        <v>1</v>
      </c>
      <c r="C73" s="9"/>
      <c r="D73" s="265"/>
      <c r="E73" s="265"/>
      <c r="F73" s="265"/>
      <c r="G73" s="265"/>
      <c r="H73" s="265"/>
      <c r="I73" s="265"/>
    </row>
    <row r="74" spans="2:10" x14ac:dyDescent="0.25">
      <c r="B74" s="2">
        <v>2</v>
      </c>
      <c r="C74" s="9"/>
      <c r="D74" s="265"/>
      <c r="E74" s="265"/>
      <c r="F74" s="265"/>
      <c r="G74" s="265"/>
      <c r="H74" s="265"/>
      <c r="I74" s="265"/>
    </row>
    <row r="75" spans="2:10" x14ac:dyDescent="0.25">
      <c r="B75" s="2">
        <v>3</v>
      </c>
      <c r="C75" s="9"/>
      <c r="D75" s="265"/>
      <c r="E75" s="265"/>
      <c r="F75" s="265"/>
      <c r="G75" s="265"/>
      <c r="H75" s="265"/>
      <c r="I75" s="265"/>
    </row>
    <row r="76" spans="2:10" x14ac:dyDescent="0.25">
      <c r="B76" s="2">
        <v>4</v>
      </c>
      <c r="C76" s="9"/>
      <c r="D76" s="265"/>
      <c r="E76" s="265"/>
      <c r="F76" s="265"/>
      <c r="G76" s="265"/>
      <c r="H76" s="265"/>
      <c r="I76" s="265"/>
    </row>
    <row r="77" spans="2:10" x14ac:dyDescent="0.25">
      <c r="B77" s="2">
        <v>5</v>
      </c>
      <c r="C77" s="9"/>
      <c r="D77" s="265"/>
      <c r="E77" s="265"/>
      <c r="F77" s="265"/>
      <c r="G77" s="265"/>
      <c r="H77" s="265"/>
      <c r="I77" s="265"/>
    </row>
    <row r="80" spans="2:10" x14ac:dyDescent="0.25">
      <c r="B80" s="236" t="s">
        <v>103</v>
      </c>
      <c r="C80" s="236"/>
      <c r="D80" s="236"/>
      <c r="E80" s="237"/>
      <c r="F80" s="186"/>
    </row>
    <row r="81" spans="2:9" x14ac:dyDescent="0.25">
      <c r="B81" s="3"/>
      <c r="C81" s="1"/>
      <c r="D81" s="197"/>
      <c r="E81" s="1"/>
    </row>
    <row r="82" spans="2:9" x14ac:dyDescent="0.25">
      <c r="B82" s="197" t="s">
        <v>46</v>
      </c>
      <c r="C82" s="1"/>
      <c r="D82" s="197"/>
      <c r="E82" s="1"/>
    </row>
    <row r="83" spans="2:9" ht="36" customHeight="1" x14ac:dyDescent="0.25">
      <c r="B83" s="262"/>
      <c r="C83" s="263"/>
      <c r="D83" s="263"/>
      <c r="E83" s="263"/>
      <c r="F83" s="263"/>
      <c r="G83" s="263"/>
      <c r="H83" s="263"/>
      <c r="I83" s="264"/>
    </row>
    <row r="84" spans="2:9" x14ac:dyDescent="0.25">
      <c r="D84" s="18"/>
    </row>
    <row r="87" spans="2:9" x14ac:dyDescent="0.25">
      <c r="B87" s="2" t="s">
        <v>104</v>
      </c>
    </row>
  </sheetData>
  <mergeCells count="79">
    <mergeCell ref="B83:I83"/>
    <mergeCell ref="D73:I73"/>
    <mergeCell ref="D74:I74"/>
    <mergeCell ref="D75:I75"/>
    <mergeCell ref="D76:I76"/>
    <mergeCell ref="D77:I77"/>
    <mergeCell ref="B80:E80"/>
    <mergeCell ref="D67:F67"/>
    <mergeCell ref="H67:I67"/>
    <mergeCell ref="D68:F68"/>
    <mergeCell ref="H68:I68"/>
    <mergeCell ref="D69:F69"/>
    <mergeCell ref="H69:I69"/>
    <mergeCell ref="D66:F66"/>
    <mergeCell ref="D59:F59"/>
    <mergeCell ref="H59:I59"/>
    <mergeCell ref="D60:F60"/>
    <mergeCell ref="D61:F61"/>
    <mergeCell ref="D62:F62"/>
    <mergeCell ref="H62:I62"/>
    <mergeCell ref="D63:F63"/>
    <mergeCell ref="H63:I63"/>
    <mergeCell ref="D64:F64"/>
    <mergeCell ref="H64:I64"/>
    <mergeCell ref="D65:F65"/>
    <mergeCell ref="D56:F56"/>
    <mergeCell ref="H56:I56"/>
    <mergeCell ref="D57:F57"/>
    <mergeCell ref="H57:I57"/>
    <mergeCell ref="D58:F58"/>
    <mergeCell ref="H58:I58"/>
    <mergeCell ref="D52:F52"/>
    <mergeCell ref="D53:F53"/>
    <mergeCell ref="D54:F54"/>
    <mergeCell ref="H54:I54"/>
    <mergeCell ref="D55:F55"/>
    <mergeCell ref="H55:I55"/>
    <mergeCell ref="D49:F49"/>
    <mergeCell ref="H49:I49"/>
    <mergeCell ref="D50:F50"/>
    <mergeCell ref="H50:I50"/>
    <mergeCell ref="D51:F51"/>
    <mergeCell ref="H51:I51"/>
    <mergeCell ref="D48:F48"/>
    <mergeCell ref="B31:H31"/>
    <mergeCell ref="B33:H33"/>
    <mergeCell ref="D42:F42"/>
    <mergeCell ref="D43:F43"/>
    <mergeCell ref="H43:I43"/>
    <mergeCell ref="D44:F44"/>
    <mergeCell ref="H44:I44"/>
    <mergeCell ref="D45:F45"/>
    <mergeCell ref="H45:I45"/>
    <mergeCell ref="D46:F46"/>
    <mergeCell ref="H46:I46"/>
    <mergeCell ref="D47:F47"/>
    <mergeCell ref="D27:E27"/>
    <mergeCell ref="F27:H27"/>
    <mergeCell ref="D28:E28"/>
    <mergeCell ref="F28:H28"/>
    <mergeCell ref="D24:E24"/>
    <mergeCell ref="F24:H24"/>
    <mergeCell ref="D25:E25"/>
    <mergeCell ref="F25:H25"/>
    <mergeCell ref="D26:E26"/>
    <mergeCell ref="F26:H26"/>
    <mergeCell ref="D23:E23"/>
    <mergeCell ref="F23:H23"/>
    <mergeCell ref="B2:I2"/>
    <mergeCell ref="B4:H4"/>
    <mergeCell ref="C13:H13"/>
    <mergeCell ref="F14:G14"/>
    <mergeCell ref="C15:E15"/>
    <mergeCell ref="F15:G15"/>
    <mergeCell ref="C16:E16"/>
    <mergeCell ref="F16:G16"/>
    <mergeCell ref="B18:H18"/>
    <mergeCell ref="D22:E22"/>
    <mergeCell ref="F22:H22"/>
  </mergeCells>
  <pageMargins left="0.7" right="0.7" top="0.75" bottom="0.75" header="0.3" footer="0.3"/>
  <pageSetup scale="60" orientation="portrait" r:id="rId1"/>
  <rowBreaks count="1" manualBreakCount="1">
    <brk id="51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C8C49-EF86-4F47-8B88-69250FFD3903}">
          <x14:formula1>
            <xm:f>Instructions!$B$16:$B$17</xm:f>
          </x14:formula1>
          <xm:sqref>C22:C28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1193-C7C7-4E5E-A5BA-04A4B6F8BBF0}">
  <sheetPr>
    <pageSetUpPr fitToPage="1"/>
  </sheetPr>
  <dimension ref="A1:I61"/>
  <sheetViews>
    <sheetView zoomScaleNormal="100" workbookViewId="0">
      <selection activeCell="D1" sqref="D1:E1"/>
    </sheetView>
  </sheetViews>
  <sheetFormatPr defaultColWidth="9.140625" defaultRowHeight="15" x14ac:dyDescent="0.25"/>
  <cols>
    <col min="1" max="1" width="16.28515625" customWidth="1"/>
    <col min="2" max="2" width="20.85546875" customWidth="1"/>
    <col min="3" max="3" width="12.28515625" customWidth="1"/>
    <col min="4" max="4" width="20" customWidth="1"/>
    <col min="5" max="5" width="24" customWidth="1"/>
    <col min="6" max="6" width="28.5703125" customWidth="1"/>
    <col min="7" max="7" width="27.7109375" customWidth="1"/>
    <col min="8" max="8" width="45.5703125" customWidth="1"/>
  </cols>
  <sheetData>
    <row r="1" spans="1:9" s="19" customFormat="1" ht="15" customHeight="1" x14ac:dyDescent="0.25">
      <c r="A1" s="162" t="s">
        <v>12</v>
      </c>
      <c r="B1" s="163"/>
      <c r="C1" s="163"/>
      <c r="D1" s="267" t="s">
        <v>105</v>
      </c>
      <c r="E1" s="268"/>
      <c r="F1" s="164"/>
      <c r="G1" s="165" t="s">
        <v>106</v>
      </c>
    </row>
    <row r="2" spans="1:9" ht="25.15" customHeight="1" x14ac:dyDescent="0.25">
      <c r="A2" s="166" t="s">
        <v>107</v>
      </c>
      <c r="B2" s="241"/>
      <c r="C2" s="241"/>
      <c r="D2" s="241"/>
      <c r="E2" s="269"/>
      <c r="F2" s="270" t="s">
        <v>108</v>
      </c>
      <c r="G2" s="271"/>
    </row>
    <row r="3" spans="1:9" ht="28.9" customHeight="1" x14ac:dyDescent="0.25">
      <c r="A3" s="166" t="s">
        <v>109</v>
      </c>
      <c r="B3" s="241"/>
      <c r="C3" s="241"/>
      <c r="D3" s="241"/>
      <c r="E3" s="269"/>
      <c r="F3" s="272" t="s">
        <v>110</v>
      </c>
      <c r="G3" s="273"/>
    </row>
    <row r="4" spans="1:9" ht="30" x14ac:dyDescent="0.25">
      <c r="A4" s="167" t="s">
        <v>111</v>
      </c>
      <c r="B4" s="241"/>
      <c r="C4" s="241"/>
      <c r="D4" s="241"/>
      <c r="E4" s="269"/>
      <c r="F4" s="178" t="s">
        <v>112</v>
      </c>
      <c r="G4" s="168"/>
    </row>
    <row r="5" spans="1:9" ht="24.6" customHeight="1" x14ac:dyDescent="0.25">
      <c r="A5" s="167" t="s">
        <v>113</v>
      </c>
      <c r="B5" s="241"/>
      <c r="C5" s="241"/>
      <c r="D5" s="241"/>
      <c r="E5" s="269"/>
      <c r="F5" s="179" t="s">
        <v>114</v>
      </c>
      <c r="G5" s="169"/>
    </row>
    <row r="6" spans="1:9" ht="30.6" customHeight="1" x14ac:dyDescent="0.25">
      <c r="A6" s="274" t="s">
        <v>115</v>
      </c>
      <c r="B6" s="274"/>
      <c r="C6" s="241"/>
      <c r="D6" s="241"/>
      <c r="E6" s="269"/>
      <c r="F6" s="170" t="s">
        <v>116</v>
      </c>
      <c r="G6" s="171"/>
    </row>
    <row r="7" spans="1:9" ht="22.15" customHeight="1" x14ac:dyDescent="0.25">
      <c r="A7" s="275" t="s">
        <v>117</v>
      </c>
      <c r="B7" s="276"/>
      <c r="C7" s="276"/>
      <c r="D7" s="276"/>
      <c r="E7" s="204" t="s">
        <v>118</v>
      </c>
      <c r="F7" s="277" t="s">
        <v>119</v>
      </c>
      <c r="G7" s="277"/>
      <c r="H7" s="205" t="s">
        <v>120</v>
      </c>
    </row>
    <row r="8" spans="1:9" ht="20.45" customHeight="1" x14ac:dyDescent="0.25">
      <c r="A8" s="266" t="s">
        <v>121</v>
      </c>
      <c r="B8" s="266"/>
      <c r="C8" s="266"/>
      <c r="D8" s="266"/>
      <c r="E8" s="266"/>
      <c r="F8" s="266"/>
      <c r="G8" s="266"/>
      <c r="H8" s="266"/>
    </row>
    <row r="9" spans="1:9" ht="28.15" customHeight="1" x14ac:dyDescent="0.25">
      <c r="A9" s="278" t="s">
        <v>122</v>
      </c>
      <c r="B9" s="279"/>
      <c r="C9" s="279"/>
      <c r="D9" s="280"/>
      <c r="E9" s="187"/>
      <c r="F9" s="281"/>
      <c r="G9" s="281"/>
    </row>
    <row r="10" spans="1:9" ht="21" customHeight="1" x14ac:dyDescent="0.25">
      <c r="A10" s="282" t="s">
        <v>123</v>
      </c>
      <c r="B10" s="283"/>
      <c r="C10" s="283"/>
      <c r="D10" s="284"/>
      <c r="E10" s="172"/>
      <c r="F10" s="291" t="s">
        <v>124</v>
      </c>
      <c r="G10" s="292"/>
    </row>
    <row r="11" spans="1:9" ht="20.45" customHeight="1" x14ac:dyDescent="0.25">
      <c r="A11" s="285" t="s">
        <v>125</v>
      </c>
      <c r="B11" s="286"/>
      <c r="C11" s="286"/>
      <c r="D11" s="287"/>
      <c r="E11" s="173"/>
      <c r="F11" s="293"/>
      <c r="G11" s="294"/>
      <c r="H11" t="s">
        <v>126</v>
      </c>
    </row>
    <row r="12" spans="1:9" ht="18" customHeight="1" x14ac:dyDescent="0.25">
      <c r="A12" s="288" t="s">
        <v>127</v>
      </c>
      <c r="B12" s="289"/>
      <c r="C12" s="289"/>
      <c r="D12" s="290"/>
      <c r="E12" s="172"/>
      <c r="F12" s="180" t="s">
        <v>128</v>
      </c>
      <c r="G12" s="206"/>
    </row>
    <row r="13" spans="1:9" ht="18.600000000000001" customHeight="1" x14ac:dyDescent="0.25">
      <c r="A13" s="295" t="s">
        <v>129</v>
      </c>
      <c r="B13" s="296"/>
      <c r="C13" s="296"/>
      <c r="D13" s="297"/>
      <c r="E13" s="172"/>
      <c r="F13" s="298" t="s">
        <v>130</v>
      </c>
      <c r="G13" s="299"/>
    </row>
    <row r="14" spans="1:9" x14ac:dyDescent="0.25">
      <c r="A14" s="300" t="s">
        <v>131</v>
      </c>
      <c r="B14" s="301" t="s">
        <v>104</v>
      </c>
      <c r="C14" s="301"/>
      <c r="D14" s="302"/>
      <c r="E14" s="172"/>
      <c r="F14" s="298" t="s">
        <v>132</v>
      </c>
      <c r="G14" s="299"/>
    </row>
    <row r="15" spans="1:9" x14ac:dyDescent="0.25">
      <c r="A15" s="295" t="s">
        <v>133</v>
      </c>
      <c r="B15" s="296" t="s">
        <v>104</v>
      </c>
      <c r="C15" s="296"/>
      <c r="D15" s="297"/>
      <c r="E15" s="172"/>
      <c r="F15" s="303" t="s">
        <v>134</v>
      </c>
      <c r="G15" s="303"/>
      <c r="I15" s="44" t="s">
        <v>126</v>
      </c>
    </row>
    <row r="16" spans="1:9" x14ac:dyDescent="0.25">
      <c r="A16" s="304" t="s">
        <v>135</v>
      </c>
      <c r="B16" s="305"/>
      <c r="C16" s="305"/>
      <c r="D16" s="306"/>
      <c r="E16" s="172"/>
      <c r="F16" s="307"/>
      <c r="G16" s="307"/>
    </row>
    <row r="17" spans="1:7" x14ac:dyDescent="0.25">
      <c r="A17" s="304" t="s">
        <v>136</v>
      </c>
      <c r="B17" s="305"/>
      <c r="C17" s="305"/>
      <c r="D17" s="306"/>
      <c r="E17" s="172"/>
      <c r="F17" s="308"/>
      <c r="G17" s="309"/>
    </row>
    <row r="18" spans="1:7" s="36" customFormat="1" ht="16.5" customHeight="1" x14ac:dyDescent="0.25">
      <c r="A18" s="304" t="s">
        <v>137</v>
      </c>
      <c r="B18" s="305" t="s">
        <v>104</v>
      </c>
      <c r="C18" s="305"/>
      <c r="D18" s="306"/>
      <c r="E18" s="172"/>
      <c r="F18" s="307"/>
      <c r="G18" s="307"/>
    </row>
    <row r="19" spans="1:7" s="36" customFormat="1" ht="27" customHeight="1" x14ac:dyDescent="0.25">
      <c r="A19" s="295" t="s">
        <v>138</v>
      </c>
      <c r="B19" s="296"/>
      <c r="C19" s="296"/>
      <c r="D19" s="297"/>
      <c r="E19" s="172"/>
      <c r="F19" s="310" t="s">
        <v>139</v>
      </c>
      <c r="G19" s="310"/>
    </row>
    <row r="20" spans="1:7" s="36" customFormat="1" ht="15.75" customHeight="1" x14ac:dyDescent="0.25">
      <c r="A20" s="300" t="s">
        <v>140</v>
      </c>
      <c r="B20" s="301"/>
      <c r="C20" s="301"/>
      <c r="D20" s="302"/>
      <c r="E20" s="172"/>
      <c r="F20" s="311" t="s">
        <v>141</v>
      </c>
      <c r="G20" s="312"/>
    </row>
    <row r="21" spans="1:7" s="36" customFormat="1" ht="15.75" customHeight="1" x14ac:dyDescent="0.25">
      <c r="A21" s="313" t="s">
        <v>142</v>
      </c>
      <c r="B21" s="314"/>
      <c r="C21" s="314"/>
      <c r="D21" s="315"/>
      <c r="E21" s="172"/>
      <c r="F21" s="308"/>
      <c r="G21" s="316"/>
    </row>
    <row r="22" spans="1:7" s="36" customFormat="1" ht="21" customHeight="1" thickBot="1" x14ac:dyDescent="0.3">
      <c r="A22" s="313" t="s">
        <v>143</v>
      </c>
      <c r="B22" s="317"/>
      <c r="C22" s="317"/>
      <c r="D22" s="318"/>
      <c r="E22" s="172"/>
      <c r="F22" s="308"/>
      <c r="G22" s="316"/>
    </row>
    <row r="23" spans="1:7" s="36" customFormat="1" ht="45.6" customHeight="1" thickBot="1" x14ac:dyDescent="0.3">
      <c r="A23" s="326" t="s">
        <v>144</v>
      </c>
      <c r="B23" s="327" t="s">
        <v>145</v>
      </c>
      <c r="C23" s="327"/>
      <c r="D23" s="328"/>
      <c r="E23" s="332"/>
      <c r="F23" s="310" t="s">
        <v>146</v>
      </c>
      <c r="G23" s="310"/>
    </row>
    <row r="24" spans="1:7" s="36" customFormat="1" ht="21.6" customHeight="1" thickBot="1" x14ac:dyDescent="0.3">
      <c r="A24" s="329"/>
      <c r="B24" s="330"/>
      <c r="C24" s="330"/>
      <c r="D24" s="331"/>
      <c r="E24" s="333"/>
      <c r="F24" s="324" t="s">
        <v>147</v>
      </c>
      <c r="G24" s="325"/>
    </row>
    <row r="25" spans="1:7" s="36" customFormat="1" ht="51.6" customHeight="1" thickBot="1" x14ac:dyDescent="0.3">
      <c r="A25" s="319" t="s">
        <v>148</v>
      </c>
      <c r="B25" s="320"/>
      <c r="C25" s="320"/>
      <c r="D25" s="321"/>
      <c r="E25" s="172"/>
      <c r="F25" s="322" t="s">
        <v>149</v>
      </c>
      <c r="G25" s="323"/>
    </row>
    <row r="26" spans="1:7" ht="15.75" thickBot="1" x14ac:dyDescent="0.3">
      <c r="A26" s="304" t="s">
        <v>150</v>
      </c>
      <c r="B26" s="305"/>
      <c r="C26" s="305"/>
      <c r="D26" s="306"/>
      <c r="E26" s="172"/>
      <c r="F26" s="303" t="s">
        <v>151</v>
      </c>
      <c r="G26" s="303"/>
    </row>
    <row r="27" spans="1:7" ht="45.6" customHeight="1" thickBot="1" x14ac:dyDescent="0.3">
      <c r="A27" s="300" t="s">
        <v>152</v>
      </c>
      <c r="B27" s="301"/>
      <c r="C27" s="301"/>
      <c r="D27" s="302"/>
      <c r="E27" s="172"/>
      <c r="F27" s="334" t="s">
        <v>153</v>
      </c>
      <c r="G27" s="335"/>
    </row>
    <row r="28" spans="1:7" ht="15.75" thickBot="1" x14ac:dyDescent="0.3">
      <c r="A28" s="304" t="s">
        <v>154</v>
      </c>
      <c r="B28" s="305"/>
      <c r="C28" s="305"/>
      <c r="D28" s="306"/>
      <c r="E28" s="172"/>
      <c r="F28" s="308"/>
      <c r="G28" s="309"/>
    </row>
    <row r="29" spans="1:7" ht="15.75" thickBot="1" x14ac:dyDescent="0.3">
      <c r="A29" s="304" t="s">
        <v>155</v>
      </c>
      <c r="B29" s="305"/>
      <c r="C29" s="305"/>
      <c r="D29" s="306"/>
      <c r="E29" s="172"/>
      <c r="F29" s="308"/>
      <c r="G29" s="309"/>
    </row>
    <row r="30" spans="1:7" ht="15.75" thickBot="1" x14ac:dyDescent="0.3">
      <c r="A30" s="304" t="s">
        <v>156</v>
      </c>
      <c r="B30" s="305"/>
      <c r="C30" s="305"/>
      <c r="D30" s="306"/>
      <c r="E30" s="172"/>
      <c r="F30" s="308"/>
      <c r="G30" s="309"/>
    </row>
    <row r="31" spans="1:7" ht="15.75" thickBot="1" x14ac:dyDescent="0.3">
      <c r="A31" s="300" t="s">
        <v>157</v>
      </c>
      <c r="B31" s="301"/>
      <c r="C31" s="301"/>
      <c r="D31" s="302"/>
      <c r="E31" s="172"/>
      <c r="F31" s="308"/>
      <c r="G31" s="309"/>
    </row>
    <row r="32" spans="1:7" ht="15.75" thickBot="1" x14ac:dyDescent="0.3">
      <c r="A32" s="300" t="s">
        <v>158</v>
      </c>
      <c r="B32" s="301"/>
      <c r="C32" s="301"/>
      <c r="D32" s="302"/>
      <c r="E32" s="172"/>
      <c r="F32" s="308"/>
      <c r="G32" s="309"/>
    </row>
    <row r="33" spans="1:7" ht="15.75" thickBot="1" x14ac:dyDescent="0.3">
      <c r="A33" s="300" t="s">
        <v>159</v>
      </c>
      <c r="B33" s="301"/>
      <c r="C33" s="301"/>
      <c r="D33" s="302"/>
      <c r="E33" s="172"/>
      <c r="F33" s="308"/>
      <c r="G33" s="309"/>
    </row>
    <row r="34" spans="1:7" ht="15.75" thickBot="1" x14ac:dyDescent="0.3">
      <c r="A34" s="300" t="s">
        <v>160</v>
      </c>
      <c r="B34" s="301"/>
      <c r="C34" s="301"/>
      <c r="D34" s="302"/>
      <c r="E34" s="172"/>
      <c r="F34" s="308"/>
      <c r="G34" s="309"/>
    </row>
    <row r="35" spans="1:7" ht="15.75" thickBot="1" x14ac:dyDescent="0.3">
      <c r="A35" s="295" t="s">
        <v>161</v>
      </c>
      <c r="B35" s="296"/>
      <c r="C35" s="296"/>
      <c r="D35" s="297"/>
      <c r="E35" s="172"/>
      <c r="F35" s="308"/>
      <c r="G35" s="309"/>
    </row>
    <row r="36" spans="1:7" ht="15.75" thickBot="1" x14ac:dyDescent="0.3">
      <c r="A36" s="295" t="s">
        <v>162</v>
      </c>
      <c r="B36" s="296"/>
      <c r="C36" s="296"/>
      <c r="D36" s="297"/>
      <c r="E36" s="172"/>
      <c r="F36" s="308"/>
      <c r="G36" s="309"/>
    </row>
    <row r="37" spans="1:7" ht="33.6" customHeight="1" thickBot="1" x14ac:dyDescent="0.3">
      <c r="A37" s="304" t="s">
        <v>163</v>
      </c>
      <c r="B37" s="305"/>
      <c r="C37" s="305"/>
      <c r="D37" s="306"/>
      <c r="E37" s="172"/>
      <c r="F37" s="324" t="s">
        <v>164</v>
      </c>
      <c r="G37" s="336"/>
    </row>
    <row r="38" spans="1:7" ht="30" customHeight="1" thickBot="1" x14ac:dyDescent="0.3">
      <c r="A38" s="304" t="s">
        <v>165</v>
      </c>
      <c r="B38" s="305"/>
      <c r="C38" s="305"/>
      <c r="D38" s="306"/>
      <c r="E38" s="172"/>
      <c r="F38" s="324" t="s">
        <v>166</v>
      </c>
      <c r="G38" s="336"/>
    </row>
    <row r="39" spans="1:7" ht="30" customHeight="1" thickBot="1" x14ac:dyDescent="0.3">
      <c r="A39" s="304" t="s">
        <v>167</v>
      </c>
      <c r="B39" s="305"/>
      <c r="C39" s="305"/>
      <c r="D39" s="306"/>
      <c r="E39" s="172"/>
      <c r="F39" s="324" t="s">
        <v>168</v>
      </c>
      <c r="G39" s="336"/>
    </row>
    <row r="40" spans="1:7" ht="28.15" customHeight="1" thickBot="1" x14ac:dyDescent="0.3">
      <c r="A40" s="300" t="s">
        <v>169</v>
      </c>
      <c r="B40" s="301"/>
      <c r="C40" s="301"/>
      <c r="D40" s="302"/>
      <c r="E40" s="172"/>
      <c r="F40" s="334" t="s">
        <v>170</v>
      </c>
      <c r="G40" s="335"/>
    </row>
    <row r="41" spans="1:7" ht="30.6" customHeight="1" thickBot="1" x14ac:dyDescent="0.3">
      <c r="A41" s="337" t="s">
        <v>171</v>
      </c>
      <c r="B41" s="338"/>
      <c r="C41" s="338"/>
      <c r="D41" s="339"/>
      <c r="E41" s="207" t="s">
        <v>172</v>
      </c>
      <c r="F41" s="340" t="s">
        <v>173</v>
      </c>
      <c r="G41" s="340"/>
    </row>
    <row r="42" spans="1:7" ht="15" customHeight="1" thickBot="1" x14ac:dyDescent="0.3">
      <c r="A42" s="341" t="s">
        <v>25</v>
      </c>
      <c r="B42" s="342"/>
      <c r="C42" s="342"/>
      <c r="D42" s="343"/>
      <c r="E42" s="174"/>
      <c r="F42" s="344"/>
      <c r="G42" s="344"/>
    </row>
    <row r="43" spans="1:7" ht="15" customHeight="1" thickBot="1" x14ac:dyDescent="0.3">
      <c r="A43" s="345" t="s">
        <v>123</v>
      </c>
      <c r="B43" s="346"/>
      <c r="C43" s="346"/>
      <c r="D43" s="347"/>
      <c r="E43" s="174"/>
      <c r="F43" s="344"/>
      <c r="G43" s="344"/>
    </row>
    <row r="44" spans="1:7" ht="15" customHeight="1" x14ac:dyDescent="0.25">
      <c r="A44" s="345" t="s">
        <v>174</v>
      </c>
      <c r="B44" s="346"/>
      <c r="C44" s="346"/>
      <c r="D44" s="347"/>
      <c r="E44" s="174"/>
      <c r="F44" s="344"/>
      <c r="G44" s="344"/>
    </row>
    <row r="45" spans="1:7" ht="15.75" customHeight="1" x14ac:dyDescent="0.25">
      <c r="A45" s="368" t="s">
        <v>175</v>
      </c>
      <c r="B45" s="369" t="s">
        <v>145</v>
      </c>
      <c r="C45" s="369"/>
      <c r="D45" s="370"/>
      <c r="E45" s="174"/>
      <c r="F45" s="371" t="s">
        <v>176</v>
      </c>
      <c r="G45" s="371"/>
    </row>
    <row r="46" spans="1:7" ht="15" customHeight="1" x14ac:dyDescent="0.25">
      <c r="A46" s="368" t="s">
        <v>177</v>
      </c>
      <c r="B46" s="369"/>
      <c r="C46" s="369"/>
      <c r="D46" s="370"/>
      <c r="E46" s="174"/>
      <c r="F46" s="344"/>
      <c r="G46" s="344"/>
    </row>
    <row r="47" spans="1:7" ht="15" customHeight="1" thickBot="1" x14ac:dyDescent="0.3">
      <c r="A47" s="357" t="s">
        <v>178</v>
      </c>
      <c r="B47" s="358"/>
      <c r="C47" s="358"/>
      <c r="D47" s="359"/>
      <c r="E47" s="174"/>
      <c r="F47" s="344"/>
      <c r="G47" s="344"/>
    </row>
    <row r="48" spans="1:7" ht="15" customHeight="1" x14ac:dyDescent="0.25">
      <c r="A48" s="360" t="s">
        <v>179</v>
      </c>
      <c r="B48" s="361"/>
      <c r="C48" s="361"/>
      <c r="D48" s="362"/>
      <c r="E48" s="174"/>
      <c r="F48" s="344"/>
      <c r="G48" s="344"/>
    </row>
    <row r="49" spans="1:7" ht="15" customHeight="1" x14ac:dyDescent="0.25">
      <c r="A49" s="181" t="s">
        <v>180</v>
      </c>
      <c r="B49" s="182"/>
      <c r="C49" s="175"/>
      <c r="D49" s="175"/>
      <c r="E49" s="175"/>
      <c r="F49" s="175"/>
      <c r="G49" s="175"/>
    </row>
    <row r="50" spans="1:7" ht="25.15" customHeight="1" x14ac:dyDescent="0.25">
      <c r="A50" s="184" t="s">
        <v>181</v>
      </c>
      <c r="B50" s="183"/>
      <c r="C50" s="363"/>
      <c r="D50" s="363"/>
      <c r="E50" s="363"/>
      <c r="F50" s="363"/>
      <c r="G50" s="363"/>
    </row>
    <row r="51" spans="1:7" ht="15.75" x14ac:dyDescent="0.25">
      <c r="A51" s="364" t="s">
        <v>182</v>
      </c>
      <c r="B51" s="365"/>
      <c r="C51" s="366"/>
      <c r="D51" s="366"/>
      <c r="E51" s="366"/>
      <c r="F51" s="366"/>
      <c r="G51" s="367"/>
    </row>
    <row r="52" spans="1:7" ht="43.9" customHeight="1" x14ac:dyDescent="0.25">
      <c r="A52" s="348"/>
      <c r="B52" s="349"/>
      <c r="C52" s="349"/>
      <c r="D52" s="349"/>
      <c r="E52" s="349"/>
      <c r="F52" s="349"/>
      <c r="G52" s="350"/>
    </row>
    <row r="53" spans="1:7" ht="45.6" customHeight="1" x14ac:dyDescent="0.25">
      <c r="A53" s="351"/>
      <c r="B53" s="352"/>
      <c r="C53" s="352"/>
      <c r="D53" s="352"/>
      <c r="E53" s="352"/>
      <c r="F53" s="352"/>
      <c r="G53" s="353"/>
    </row>
    <row r="54" spans="1:7" ht="32.450000000000003" customHeight="1" thickBot="1" x14ac:dyDescent="0.3">
      <c r="A54" s="354"/>
      <c r="B54" s="355"/>
      <c r="C54" s="355"/>
      <c r="D54" s="355"/>
      <c r="E54" s="355"/>
      <c r="F54" s="355"/>
      <c r="G54" s="356"/>
    </row>
    <row r="61" spans="1:7" ht="18.95" customHeight="1" x14ac:dyDescent="0.25"/>
  </sheetData>
  <mergeCells count="93">
    <mergeCell ref="A44:D44"/>
    <mergeCell ref="F44:G44"/>
    <mergeCell ref="A45:D45"/>
    <mergeCell ref="F45:G45"/>
    <mergeCell ref="A46:D46"/>
    <mergeCell ref="F46:G46"/>
    <mergeCell ref="A52:G54"/>
    <mergeCell ref="A47:D47"/>
    <mergeCell ref="F47:G47"/>
    <mergeCell ref="A48:D48"/>
    <mergeCell ref="F48:G48"/>
    <mergeCell ref="C50:G50"/>
    <mergeCell ref="A51:G51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7:D27"/>
    <mergeCell ref="F27:G27"/>
    <mergeCell ref="A28:D28"/>
    <mergeCell ref="F28:G28"/>
    <mergeCell ref="A26:D26"/>
    <mergeCell ref="F26:G26"/>
    <mergeCell ref="A22:D22"/>
    <mergeCell ref="F22:G22"/>
    <mergeCell ref="F23:G23"/>
    <mergeCell ref="A25:D25"/>
    <mergeCell ref="F25:G25"/>
    <mergeCell ref="F24:G24"/>
    <mergeCell ref="A23:D24"/>
    <mergeCell ref="E23:E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9:D9"/>
    <mergeCell ref="F9:G9"/>
    <mergeCell ref="A10:D10"/>
    <mergeCell ref="A11:D11"/>
    <mergeCell ref="A12:D12"/>
    <mergeCell ref="F10:G11"/>
    <mergeCell ref="A8:H8"/>
    <mergeCell ref="D1:E1"/>
    <mergeCell ref="B2:E2"/>
    <mergeCell ref="F2:G2"/>
    <mergeCell ref="B3:E3"/>
    <mergeCell ref="F3:G3"/>
    <mergeCell ref="B4:E4"/>
    <mergeCell ref="B5:E5"/>
    <mergeCell ref="A6:B6"/>
    <mergeCell ref="C6:E6"/>
    <mergeCell ref="A7:D7"/>
    <mergeCell ref="F7:G7"/>
  </mergeCells>
  <hyperlinks>
    <hyperlink ref="F24:G24" r:id="rId1" display="Review Slide #8 for example: Funding Team 1.5.26" xr:uid="{017EDA69-1AFE-46C3-85E7-3FE261614F6F}"/>
    <hyperlink ref="F20:G20" r:id="rId2" display="Review Slide #7 for example: Funding Team 1.5.26" xr:uid="{4D1EC082-C950-42B4-91A0-B0D9E8315296}"/>
    <hyperlink ref="F37:G37" r:id="rId3" display="Applicants Exhibit 5 attachment should address the 5 questions listed in Page #21 in the Comm Dev NOFA Guideline." xr:uid="{A68863CF-086B-4198-8C9F-DADC4B4F36F0}"/>
    <hyperlink ref="F39:G39" r:id="rId4" display="Exhibit 7 attachment should be completed and signed with sample language provided in Page #23 in the Comm Dev NOFA Guideline." xr:uid="{A571B500-F02E-4504-A089-4883051FE660}"/>
    <hyperlink ref="F38:G38" r:id="rId5" display="Exhibit 6 attachment should address the 'Requested Information' listed in Page #22 in the Comm Dev NOFA Guideline." xr:uid="{C4139E4E-D708-4743-9286-2A177161A729}"/>
  </hyperlinks>
  <pageMargins left="0.7" right="0.7" top="0.75" bottom="0.75" header="0.3" footer="0.3"/>
  <pageSetup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D6EA-5A5E-4462-A456-4B78CA25A92E}">
  <sheetPr>
    <pageSetUpPr fitToPage="1"/>
  </sheetPr>
  <dimension ref="A1:S123"/>
  <sheetViews>
    <sheetView workbookViewId="0">
      <selection activeCell="D6" sqref="D6"/>
    </sheetView>
  </sheetViews>
  <sheetFormatPr defaultColWidth="9.140625" defaultRowHeight="15" customHeight="1" x14ac:dyDescent="0.25"/>
  <cols>
    <col min="1" max="1" width="3.5703125" customWidth="1"/>
    <col min="2" max="2" width="5" style="2" customWidth="1"/>
    <col min="3" max="3" width="5" customWidth="1"/>
    <col min="4" max="4" width="22.140625" customWidth="1"/>
    <col min="5" max="5" width="38.5703125" customWidth="1"/>
    <col min="6" max="6" width="34" customWidth="1"/>
    <col min="7" max="7" width="42.42578125" customWidth="1"/>
    <col min="8" max="8" width="16" customWidth="1"/>
    <col min="19" max="19" width="7.5703125" customWidth="1"/>
  </cols>
  <sheetData>
    <row r="1" spans="2:8" s="19" customFormat="1" ht="15" customHeight="1" x14ac:dyDescent="0.25">
      <c r="B1" s="464" t="s">
        <v>12</v>
      </c>
      <c r="C1" s="464"/>
      <c r="D1" s="464"/>
      <c r="E1" s="112"/>
      <c r="F1" s="113"/>
      <c r="G1" s="114" t="s">
        <v>183</v>
      </c>
      <c r="H1" s="31"/>
    </row>
    <row r="2" spans="2:8" ht="22.5" customHeight="1" x14ac:dyDescent="0.25">
      <c r="B2" s="469" t="s">
        <v>184</v>
      </c>
      <c r="C2" s="216"/>
      <c r="D2" s="216"/>
      <c r="E2" s="216"/>
      <c r="F2" s="216"/>
      <c r="G2" s="216"/>
      <c r="H2" s="216"/>
    </row>
    <row r="4" spans="2:8" ht="18.75" x14ac:dyDescent="0.25">
      <c r="B4" s="470" t="s">
        <v>185</v>
      </c>
      <c r="C4" s="470"/>
      <c r="D4" s="470"/>
      <c r="E4" s="470"/>
      <c r="F4" s="470"/>
      <c r="G4" s="470"/>
      <c r="H4" s="470"/>
    </row>
    <row r="5" spans="2:8" ht="15.75" x14ac:dyDescent="0.25">
      <c r="D5" s="475" t="s">
        <v>186</v>
      </c>
      <c r="E5" s="475"/>
      <c r="F5" s="475"/>
      <c r="G5" s="475"/>
    </row>
    <row r="6" spans="2:8" x14ac:dyDescent="0.25"/>
    <row r="7" spans="2:8" x14ac:dyDescent="0.25"/>
    <row r="8" spans="2:8" ht="15.75" x14ac:dyDescent="0.25">
      <c r="C8" s="483" t="s">
        <v>17</v>
      </c>
      <c r="D8" s="484"/>
      <c r="E8" s="73"/>
      <c r="F8" s="84" t="s">
        <v>187</v>
      </c>
      <c r="G8" s="74"/>
    </row>
    <row r="9" spans="2:8" ht="15.75" x14ac:dyDescent="0.25">
      <c r="C9" s="485" t="s">
        <v>19</v>
      </c>
      <c r="D9" s="486"/>
      <c r="E9" s="75"/>
      <c r="F9" s="76" t="s">
        <v>20</v>
      </c>
      <c r="G9" s="74"/>
    </row>
    <row r="10" spans="2:8" ht="15.75" x14ac:dyDescent="0.25">
      <c r="C10" s="487" t="s">
        <v>21</v>
      </c>
      <c r="D10" s="488"/>
      <c r="E10" s="85">
        <f>'Completion Checklist'!E10</f>
        <v>0</v>
      </c>
      <c r="F10" s="77"/>
      <c r="G10" s="78"/>
    </row>
    <row r="11" spans="2:8" ht="15.75" x14ac:dyDescent="0.25">
      <c r="C11" s="483" t="s">
        <v>22</v>
      </c>
      <c r="D11" s="484"/>
      <c r="E11" s="79">
        <f>'Completion Checklist'!E11</f>
        <v>0</v>
      </c>
      <c r="F11" s="78"/>
      <c r="G11" s="78"/>
    </row>
    <row r="12" spans="2:8" ht="15.75" x14ac:dyDescent="0.25">
      <c r="C12" s="471" t="s">
        <v>188</v>
      </c>
      <c r="D12" s="472"/>
      <c r="E12" s="80">
        <v>0</v>
      </c>
      <c r="F12" s="81" t="s">
        <v>189</v>
      </c>
      <c r="G12" s="82"/>
    </row>
    <row r="13" spans="2:8" ht="15.75" x14ac:dyDescent="0.25">
      <c r="C13" s="83"/>
      <c r="D13" s="83"/>
      <c r="E13" s="83"/>
      <c r="F13" s="83"/>
      <c r="G13" s="83"/>
    </row>
    <row r="14" spans="2:8" ht="42" customHeight="1" x14ac:dyDescent="0.25">
      <c r="C14" s="436" t="s">
        <v>190</v>
      </c>
      <c r="D14" s="437"/>
      <c r="E14" s="489"/>
      <c r="F14" s="489"/>
      <c r="G14" s="490"/>
    </row>
    <row r="15" spans="2:8" ht="15.75" x14ac:dyDescent="0.25">
      <c r="C15" s="83"/>
      <c r="D15" s="83"/>
      <c r="E15" s="83"/>
      <c r="F15" s="83"/>
      <c r="G15" s="83"/>
    </row>
    <row r="16" spans="2:8" ht="15.75" x14ac:dyDescent="0.25">
      <c r="C16" s="83"/>
      <c r="D16" s="83"/>
      <c r="E16" s="83"/>
      <c r="F16" s="83"/>
      <c r="G16" s="83"/>
    </row>
    <row r="17" spans="2:8" ht="18.75" x14ac:dyDescent="0.3">
      <c r="C17" s="480" t="s">
        <v>191</v>
      </c>
      <c r="D17" s="481"/>
      <c r="E17" s="481"/>
      <c r="F17" s="481"/>
      <c r="G17" s="482"/>
      <c r="H17" s="61"/>
    </row>
    <row r="18" spans="2:8" ht="15.75" x14ac:dyDescent="0.25">
      <c r="C18" s="473" t="s">
        <v>192</v>
      </c>
      <c r="D18" s="474"/>
      <c r="E18" s="474"/>
      <c r="F18" s="188">
        <f>SUM(H64,H65,H68,H69,H70,H71,H74,H75,H76,H77,H78,H80,H85,H86,H87)</f>
        <v>0</v>
      </c>
      <c r="G18" s="65"/>
      <c r="H18" s="62"/>
    </row>
    <row r="19" spans="2:8" ht="21.75" customHeight="1" x14ac:dyDescent="0.25">
      <c r="C19" s="491" t="s">
        <v>193</v>
      </c>
      <c r="D19" s="477"/>
      <c r="E19" s="477"/>
      <c r="F19" s="492"/>
      <c r="G19" s="493"/>
      <c r="H19" s="63"/>
    </row>
    <row r="20" spans="2:8" ht="65.25" customHeight="1" x14ac:dyDescent="0.25">
      <c r="C20" s="476" t="s">
        <v>194</v>
      </c>
      <c r="D20" s="477"/>
      <c r="E20" s="477"/>
      <c r="F20" s="478"/>
      <c r="G20" s="479"/>
      <c r="H20" s="64"/>
    </row>
    <row r="21" spans="2:8" ht="82.7" customHeight="1" x14ac:dyDescent="0.25">
      <c r="C21" s="494" t="s">
        <v>195</v>
      </c>
      <c r="D21" s="495"/>
      <c r="E21" s="495"/>
      <c r="F21" s="429"/>
      <c r="G21" s="430"/>
      <c r="H21" s="63"/>
    </row>
    <row r="22" spans="2:8" x14ac:dyDescent="0.25"/>
    <row r="23" spans="2:8" x14ac:dyDescent="0.25">
      <c r="C23" s="200"/>
      <c r="D23" s="200" t="s">
        <v>126</v>
      </c>
      <c r="E23" s="200"/>
      <c r="F23" s="60"/>
      <c r="G23" s="60"/>
    </row>
    <row r="25" spans="2:8" ht="21" x14ac:dyDescent="0.35">
      <c r="B25" s="431" t="s">
        <v>23</v>
      </c>
      <c r="C25" s="431"/>
      <c r="D25" s="431"/>
      <c r="E25" s="431"/>
      <c r="F25" s="431"/>
      <c r="G25" s="431"/>
      <c r="H25" s="431"/>
    </row>
    <row r="28" spans="2:8" ht="15.75" x14ac:dyDescent="0.25">
      <c r="B28" s="86" t="s">
        <v>47</v>
      </c>
      <c r="C28" s="87" t="s">
        <v>196</v>
      </c>
      <c r="D28" s="83"/>
      <c r="E28" s="83"/>
      <c r="F28" s="88" t="s">
        <v>49</v>
      </c>
    </row>
    <row r="29" spans="2:8" ht="23.25" customHeight="1" x14ac:dyDescent="0.25">
      <c r="B29" s="18"/>
      <c r="C29" s="94" t="s">
        <v>10</v>
      </c>
      <c r="D29" s="432" t="s">
        <v>50</v>
      </c>
      <c r="E29" s="432"/>
      <c r="F29" s="424" t="s">
        <v>197</v>
      </c>
      <c r="G29" s="425"/>
      <c r="H29" s="426"/>
    </row>
    <row r="30" spans="2:8" ht="23.25" customHeight="1" x14ac:dyDescent="0.25">
      <c r="B30" s="18"/>
      <c r="C30" s="155" t="s">
        <v>11</v>
      </c>
      <c r="D30" s="409" t="s">
        <v>198</v>
      </c>
      <c r="E30" s="410"/>
      <c r="F30" s="424"/>
      <c r="G30" s="425"/>
      <c r="H30" s="426"/>
    </row>
    <row r="31" spans="2:8" ht="23.25" customHeight="1" x14ac:dyDescent="0.25">
      <c r="B31" s="18"/>
      <c r="C31" s="94"/>
      <c r="D31" s="432" t="s">
        <v>51</v>
      </c>
      <c r="E31" s="432"/>
      <c r="F31" s="433"/>
      <c r="G31" s="434"/>
      <c r="H31" s="435"/>
    </row>
    <row r="32" spans="2:8" ht="35.25" customHeight="1" x14ac:dyDescent="0.25">
      <c r="B32" s="18"/>
      <c r="C32" s="94"/>
      <c r="D32" s="438" t="s">
        <v>199</v>
      </c>
      <c r="E32" s="438"/>
      <c r="F32" s="424"/>
      <c r="G32" s="425"/>
      <c r="H32" s="426"/>
    </row>
    <row r="33" spans="2:16" ht="23.25" customHeight="1" x14ac:dyDescent="0.25">
      <c r="B33" s="18"/>
      <c r="C33" s="94"/>
      <c r="D33" s="432" t="s">
        <v>54</v>
      </c>
      <c r="E33" s="432"/>
      <c r="F33" s="424"/>
      <c r="G33" s="425"/>
      <c r="H33" s="426"/>
    </row>
    <row r="34" spans="2:16" ht="23.25" customHeight="1" x14ac:dyDescent="0.25">
      <c r="B34" s="18"/>
      <c r="C34" s="94"/>
      <c r="D34" s="432" t="s">
        <v>55</v>
      </c>
      <c r="E34" s="432"/>
      <c r="F34" s="424" t="s">
        <v>200</v>
      </c>
      <c r="G34" s="425"/>
      <c r="H34" s="426"/>
    </row>
    <row r="35" spans="2:16" ht="14.45" customHeight="1" x14ac:dyDescent="0.25">
      <c r="B35" s="18"/>
      <c r="C35" s="54"/>
      <c r="D35" s="195"/>
      <c r="E35" s="195"/>
      <c r="F35" s="47"/>
      <c r="G35" s="47"/>
      <c r="H35" s="195"/>
    </row>
    <row r="36" spans="2:16" ht="18.75" customHeight="1" x14ac:dyDescent="0.25">
      <c r="B36" s="86" t="s">
        <v>57</v>
      </c>
      <c r="C36" s="439" t="s">
        <v>39</v>
      </c>
      <c r="D36" s="439"/>
      <c r="E36" s="439"/>
      <c r="F36" s="439"/>
      <c r="G36" s="95" t="s">
        <v>118</v>
      </c>
      <c r="H36" s="195"/>
      <c r="I36" s="195"/>
    </row>
    <row r="37" spans="2:16" ht="18.75" customHeight="1" x14ac:dyDescent="0.25">
      <c r="B37" s="96"/>
      <c r="C37" s="97" t="s">
        <v>201</v>
      </c>
      <c r="D37" s="98"/>
      <c r="E37" s="98"/>
      <c r="F37" s="98"/>
      <c r="G37" s="140"/>
      <c r="H37" s="195"/>
      <c r="I37" s="195"/>
    </row>
    <row r="38" spans="2:16" ht="18.75" customHeight="1" x14ac:dyDescent="0.25">
      <c r="B38" s="96"/>
      <c r="C38" s="440" t="s">
        <v>202</v>
      </c>
      <c r="D38" s="441"/>
      <c r="E38" s="441"/>
      <c r="F38" s="441"/>
      <c r="G38" s="139"/>
      <c r="H38" s="156"/>
      <c r="I38" s="195"/>
    </row>
    <row r="39" spans="2:16" ht="18.75" customHeight="1" x14ac:dyDescent="0.25">
      <c r="B39" s="96"/>
      <c r="C39" s="442" t="s">
        <v>203</v>
      </c>
      <c r="D39" s="443"/>
      <c r="E39" s="443"/>
      <c r="F39" s="444"/>
      <c r="G39" s="99"/>
      <c r="H39" s="156"/>
      <c r="I39" s="195"/>
    </row>
    <row r="40" spans="2:16" ht="18.75" customHeight="1" x14ac:dyDescent="0.25">
      <c r="B40" s="96"/>
      <c r="C40" s="445" t="s">
        <v>204</v>
      </c>
      <c r="D40" s="446"/>
      <c r="E40" s="446"/>
      <c r="F40" s="446"/>
      <c r="G40" s="100"/>
      <c r="H40" s="156"/>
      <c r="I40" s="195"/>
    </row>
    <row r="41" spans="2:16" ht="18.75" customHeight="1" x14ac:dyDescent="0.25">
      <c r="B41" s="96"/>
      <c r="C41" s="447" t="s">
        <v>205</v>
      </c>
      <c r="D41" s="448"/>
      <c r="E41" s="448"/>
      <c r="F41" s="449"/>
      <c r="G41" s="99"/>
      <c r="H41" s="156"/>
      <c r="I41" s="195"/>
    </row>
    <row r="42" spans="2:16" x14ac:dyDescent="0.25">
      <c r="B42" s="18"/>
      <c r="C42" s="160"/>
      <c r="D42" s="160"/>
      <c r="E42" s="160"/>
      <c r="F42" s="160"/>
      <c r="G42" s="36"/>
      <c r="H42" s="156"/>
    </row>
    <row r="43" spans="2:16" ht="17.25" customHeight="1" x14ac:dyDescent="0.25">
      <c r="B43" s="101" t="s">
        <v>206</v>
      </c>
      <c r="C43" s="456" t="s">
        <v>207</v>
      </c>
      <c r="D43" s="439"/>
      <c r="E43" s="439"/>
      <c r="F43" s="439"/>
      <c r="G43" s="439"/>
      <c r="H43" s="439"/>
    </row>
    <row r="44" spans="2:16" ht="21.75" customHeight="1" x14ac:dyDescent="0.25">
      <c r="B44" s="101"/>
      <c r="C44" s="102"/>
      <c r="D44" s="115" t="s">
        <v>208</v>
      </c>
      <c r="E44" s="116"/>
      <c r="F44" s="213" t="s">
        <v>209</v>
      </c>
      <c r="G44" s="121"/>
      <c r="H44" s="119"/>
      <c r="I44" s="377" t="s">
        <v>210</v>
      </c>
      <c r="J44" s="378"/>
      <c r="K44" s="378"/>
      <c r="L44" s="378"/>
      <c r="M44" s="378"/>
      <c r="N44" s="378"/>
      <c r="O44" s="378"/>
      <c r="P44" s="378"/>
    </row>
    <row r="45" spans="2:16" ht="21.75" customHeight="1" x14ac:dyDescent="0.25">
      <c r="B45" s="101"/>
      <c r="C45" s="102"/>
      <c r="D45" s="386" t="s">
        <v>211</v>
      </c>
      <c r="E45" s="387"/>
      <c r="F45" s="387"/>
      <c r="G45" s="457"/>
      <c r="H45" s="458"/>
      <c r="I45" s="378"/>
      <c r="J45" s="378"/>
      <c r="K45" s="378"/>
      <c r="L45" s="378"/>
      <c r="M45" s="378"/>
      <c r="N45" s="378"/>
      <c r="O45" s="378"/>
      <c r="P45" s="378"/>
    </row>
    <row r="46" spans="2:16" ht="21.75" customHeight="1" x14ac:dyDescent="0.25">
      <c r="B46" s="101"/>
      <c r="C46" s="102"/>
      <c r="D46" s="117" t="s">
        <v>212</v>
      </c>
      <c r="E46" s="116"/>
      <c r="F46" s="126"/>
      <c r="G46" s="124"/>
      <c r="H46" s="123"/>
      <c r="I46" s="378"/>
      <c r="J46" s="378"/>
      <c r="K46" s="378"/>
      <c r="L46" s="378"/>
      <c r="M46" s="378"/>
      <c r="N46" s="378"/>
      <c r="O46" s="378"/>
      <c r="P46" s="378"/>
    </row>
    <row r="47" spans="2:16" ht="21.75" customHeight="1" x14ac:dyDescent="0.25">
      <c r="B47" s="101"/>
      <c r="C47" s="125"/>
      <c r="D47" s="466" t="s">
        <v>213</v>
      </c>
      <c r="E47" s="467"/>
      <c r="F47" s="467"/>
      <c r="G47" s="118"/>
      <c r="H47" s="127"/>
      <c r="I47" s="56"/>
    </row>
    <row r="48" spans="2:16" ht="21.75" customHeight="1" x14ac:dyDescent="0.25">
      <c r="B48" s="101"/>
      <c r="C48" s="102"/>
      <c r="D48" s="393" t="s">
        <v>214</v>
      </c>
      <c r="E48" s="394"/>
      <c r="F48" s="214" t="s">
        <v>215</v>
      </c>
      <c r="G48" s="122"/>
      <c r="H48" s="120"/>
      <c r="I48" s="212"/>
    </row>
    <row r="49" spans="1:14" ht="21.75" customHeight="1" x14ac:dyDescent="0.25">
      <c r="B49" s="101"/>
      <c r="C49" s="102"/>
      <c r="D49" s="395" t="s">
        <v>216</v>
      </c>
      <c r="E49" s="396"/>
      <c r="F49" s="459"/>
      <c r="G49" s="460"/>
      <c r="H49" s="461"/>
      <c r="I49" s="212"/>
    </row>
    <row r="50" spans="1:14" ht="15.75" x14ac:dyDescent="0.25">
      <c r="B50" s="86" t="s">
        <v>217</v>
      </c>
      <c r="C50" s="103" t="s">
        <v>218</v>
      </c>
      <c r="D50" s="83"/>
      <c r="E50" s="83"/>
      <c r="F50" s="83"/>
      <c r="G50" s="83"/>
      <c r="H50" s="83"/>
    </row>
    <row r="51" spans="1:14" ht="77.099999999999994" customHeight="1" x14ac:dyDescent="0.25">
      <c r="A51" s="36"/>
      <c r="B51" s="46" t="s">
        <v>126</v>
      </c>
      <c r="C51" s="57" t="s">
        <v>126</v>
      </c>
      <c r="D51" s="450"/>
      <c r="E51" s="451"/>
      <c r="F51" s="451"/>
      <c r="G51" s="451"/>
      <c r="H51" s="452"/>
    </row>
    <row r="53" spans="1:14" ht="21" x14ac:dyDescent="0.35">
      <c r="B53" s="453" t="s">
        <v>65</v>
      </c>
      <c r="C53" s="453"/>
      <c r="D53" s="453"/>
      <c r="E53" s="453"/>
      <c r="F53" s="453"/>
      <c r="G53" s="453"/>
      <c r="H53" s="453"/>
    </row>
    <row r="54" spans="1:14" x14ac:dyDescent="0.25">
      <c r="A54" s="47"/>
      <c r="B54" s="48"/>
      <c r="C54" s="48"/>
      <c r="D54" s="48"/>
      <c r="E54" s="48"/>
      <c r="F54" s="48"/>
      <c r="G54" s="48"/>
      <c r="H54" s="48"/>
    </row>
    <row r="55" spans="1:14" ht="30" customHeight="1" x14ac:dyDescent="0.25">
      <c r="A55" s="47"/>
      <c r="B55" s="454" t="s">
        <v>219</v>
      </c>
      <c r="C55" s="455"/>
      <c r="D55" s="455"/>
      <c r="E55" s="455"/>
      <c r="F55" s="455"/>
      <c r="G55" s="455"/>
      <c r="H55" s="455"/>
    </row>
    <row r="56" spans="1:14" ht="16.5" customHeight="1" x14ac:dyDescent="0.25">
      <c r="A56" s="47"/>
      <c r="B56" s="55"/>
      <c r="C56" s="55"/>
      <c r="D56" s="55"/>
      <c r="E56" s="55"/>
      <c r="F56" s="55"/>
      <c r="G56" s="55"/>
      <c r="H56" s="55"/>
    </row>
    <row r="57" spans="1:14" ht="16.5" customHeight="1" x14ac:dyDescent="0.3">
      <c r="A57" s="47"/>
      <c r="B57" s="55"/>
      <c r="C57" s="55"/>
      <c r="D57" s="462" t="s">
        <v>220</v>
      </c>
      <c r="E57" s="463"/>
      <c r="F57" s="463"/>
      <c r="G57" s="104"/>
      <c r="H57" s="55"/>
    </row>
    <row r="58" spans="1:14" ht="18.75" customHeight="1" x14ac:dyDescent="0.25">
      <c r="A58" s="47"/>
      <c r="B58" s="55"/>
      <c r="C58" s="55"/>
      <c r="D58" s="105">
        <v>0</v>
      </c>
      <c r="E58" s="404" t="s">
        <v>221</v>
      </c>
      <c r="F58" s="405"/>
      <c r="G58" s="406" t="s">
        <v>222</v>
      </c>
      <c r="H58" s="55"/>
    </row>
    <row r="59" spans="1:14" ht="18.75" customHeight="1" x14ac:dyDescent="0.25">
      <c r="A59" s="47"/>
      <c r="B59" s="55"/>
      <c r="C59" s="55"/>
      <c r="D59" s="105">
        <v>1</v>
      </c>
      <c r="E59" s="408" t="s">
        <v>223</v>
      </c>
      <c r="F59" s="405"/>
      <c r="G59" s="407"/>
      <c r="H59" s="55"/>
    </row>
    <row r="60" spans="1:14" ht="18.75" customHeight="1" x14ac:dyDescent="0.25">
      <c r="A60" s="47"/>
      <c r="B60" s="55"/>
      <c r="C60" s="55"/>
      <c r="D60" s="105">
        <v>2</v>
      </c>
      <c r="E60" s="404" t="s">
        <v>224</v>
      </c>
      <c r="F60" s="405"/>
      <c r="G60" s="106"/>
      <c r="H60" s="55"/>
    </row>
    <row r="61" spans="1:14" ht="18.75" customHeight="1" x14ac:dyDescent="0.25">
      <c r="A61" s="47"/>
      <c r="B61" s="55"/>
      <c r="C61" s="55"/>
      <c r="D61" s="107">
        <v>3</v>
      </c>
      <c r="E61" s="403" t="s">
        <v>225</v>
      </c>
      <c r="F61" s="403"/>
      <c r="G61" s="108"/>
      <c r="H61" s="55"/>
    </row>
    <row r="62" spans="1:14" ht="16.5" customHeight="1" x14ac:dyDescent="0.25">
      <c r="A62" s="47"/>
      <c r="B62" s="55"/>
      <c r="C62" s="55"/>
      <c r="D62" s="55"/>
      <c r="E62" s="55"/>
      <c r="F62" s="55"/>
      <c r="G62" s="55"/>
      <c r="H62" s="55"/>
    </row>
    <row r="63" spans="1:14" ht="16.5" customHeight="1" x14ac:dyDescent="0.25">
      <c r="A63" s="397" t="s">
        <v>1</v>
      </c>
      <c r="B63" s="397"/>
      <c r="C63" s="110"/>
      <c r="D63" s="372" t="s">
        <v>226</v>
      </c>
      <c r="E63" s="372"/>
      <c r="F63" s="372"/>
      <c r="G63" s="110" t="s">
        <v>68</v>
      </c>
      <c r="H63" s="111" t="s">
        <v>69</v>
      </c>
      <c r="I63" s="465" t="s">
        <v>227</v>
      </c>
      <c r="J63" s="465"/>
      <c r="K63" s="465"/>
      <c r="L63" s="465"/>
      <c r="M63" s="465"/>
    </row>
    <row r="64" spans="1:14" ht="42.75" customHeight="1" x14ac:dyDescent="0.25">
      <c r="A64" s="47"/>
      <c r="B64" s="150" t="s">
        <v>70</v>
      </c>
      <c r="C64" s="67"/>
      <c r="D64" s="373" t="s">
        <v>228</v>
      </c>
      <c r="E64" s="373"/>
      <c r="F64" s="374"/>
      <c r="G64" s="50"/>
      <c r="H64" s="89"/>
      <c r="I64" s="384" t="s">
        <v>229</v>
      </c>
      <c r="J64" s="380"/>
      <c r="K64" s="380"/>
      <c r="L64" s="380"/>
      <c r="M64" s="385"/>
      <c r="N64" s="56"/>
    </row>
    <row r="65" spans="1:19" ht="78.75" customHeight="1" x14ac:dyDescent="0.25">
      <c r="B65" s="151" t="s">
        <v>72</v>
      </c>
      <c r="C65" s="209"/>
      <c r="D65" s="375" t="s">
        <v>230</v>
      </c>
      <c r="E65" s="375"/>
      <c r="F65" s="376"/>
      <c r="G65" s="51"/>
      <c r="H65" s="72"/>
      <c r="I65" s="383" t="s">
        <v>231</v>
      </c>
      <c r="J65" s="381"/>
      <c r="K65" s="381"/>
      <c r="L65" s="381"/>
      <c r="M65" s="382"/>
      <c r="N65" s="56"/>
      <c r="O65" s="56"/>
    </row>
    <row r="66" spans="1:19" ht="15" customHeight="1" x14ac:dyDescent="0.25"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8"/>
      <c r="R66" s="468"/>
      <c r="S66" s="468"/>
    </row>
    <row r="67" spans="1:19" ht="15" customHeight="1" x14ac:dyDescent="0.25">
      <c r="A67" s="427" t="s">
        <v>7</v>
      </c>
      <c r="B67" s="427"/>
      <c r="C67" s="110"/>
      <c r="D67" s="398" t="s">
        <v>232</v>
      </c>
      <c r="E67" s="398"/>
      <c r="F67" s="398"/>
      <c r="G67" s="110" t="s">
        <v>68</v>
      </c>
      <c r="H67" s="111" t="s">
        <v>69</v>
      </c>
    </row>
    <row r="68" spans="1:19" ht="128.25" customHeight="1" x14ac:dyDescent="0.25">
      <c r="A68" s="157"/>
      <c r="B68" s="150" t="s">
        <v>70</v>
      </c>
      <c r="C68" s="208"/>
      <c r="D68" s="428" t="s">
        <v>233</v>
      </c>
      <c r="E68" s="373"/>
      <c r="F68" s="374"/>
      <c r="G68" s="52"/>
      <c r="H68" s="130"/>
      <c r="I68" s="379" t="s">
        <v>234</v>
      </c>
      <c r="J68" s="380"/>
      <c r="K68" s="380"/>
      <c r="L68" s="380"/>
      <c r="M68" s="380"/>
      <c r="N68" s="380"/>
      <c r="O68" s="381"/>
      <c r="P68" s="381"/>
      <c r="Q68" s="381"/>
      <c r="R68" s="381"/>
      <c r="S68" s="382"/>
    </row>
    <row r="69" spans="1:19" ht="63.75" customHeight="1" x14ac:dyDescent="0.25">
      <c r="A69" s="157"/>
      <c r="B69" s="154" t="s">
        <v>235</v>
      </c>
      <c r="C69" s="68"/>
      <c r="D69" s="391" t="s">
        <v>80</v>
      </c>
      <c r="E69" s="391"/>
      <c r="F69" s="392"/>
      <c r="G69" s="129"/>
      <c r="H69" s="132"/>
      <c r="I69" s="496" t="s">
        <v>236</v>
      </c>
      <c r="J69" s="497"/>
      <c r="K69" s="497"/>
      <c r="L69" s="497"/>
      <c r="M69" s="497"/>
      <c r="N69" s="497"/>
      <c r="O69" s="497"/>
      <c r="P69" s="497"/>
      <c r="Q69" s="497"/>
      <c r="R69" s="497"/>
      <c r="S69" s="498"/>
    </row>
    <row r="70" spans="1:19" ht="84.75" customHeight="1" x14ac:dyDescent="0.25">
      <c r="A70" s="157"/>
      <c r="B70" s="153" t="s">
        <v>237</v>
      </c>
      <c r="C70" s="70"/>
      <c r="D70" s="375" t="s">
        <v>238</v>
      </c>
      <c r="E70" s="375"/>
      <c r="F70" s="376"/>
      <c r="G70" s="129"/>
      <c r="H70" s="128"/>
      <c r="I70" s="383" t="s">
        <v>239</v>
      </c>
      <c r="J70" s="381"/>
      <c r="K70" s="381"/>
      <c r="L70" s="381"/>
      <c r="M70" s="381"/>
      <c r="N70" s="381"/>
      <c r="O70" s="381"/>
      <c r="P70" s="381"/>
      <c r="Q70" s="381"/>
      <c r="R70" s="381"/>
      <c r="S70" s="382"/>
    </row>
    <row r="71" spans="1:19" ht="55.5" customHeight="1" x14ac:dyDescent="0.25">
      <c r="A71" s="157"/>
      <c r="B71" s="153" t="s">
        <v>76</v>
      </c>
      <c r="C71" s="69"/>
      <c r="D71" s="399" t="s">
        <v>240</v>
      </c>
      <c r="E71" s="375"/>
      <c r="F71" s="376"/>
      <c r="G71" s="109"/>
      <c r="H71" s="131"/>
      <c r="I71" s="383" t="s">
        <v>241</v>
      </c>
      <c r="J71" s="381"/>
      <c r="K71" s="381"/>
      <c r="L71" s="381"/>
      <c r="M71" s="381"/>
      <c r="N71" s="381"/>
      <c r="O71" s="381"/>
      <c r="P71" s="381"/>
      <c r="Q71" s="381"/>
      <c r="R71" s="381"/>
      <c r="S71" s="382"/>
    </row>
    <row r="72" spans="1:19" ht="23.25" customHeight="1" x14ac:dyDescent="0.25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</row>
    <row r="73" spans="1:19" ht="35.25" customHeight="1" x14ac:dyDescent="0.25">
      <c r="A73" s="397" t="s">
        <v>82</v>
      </c>
      <c r="B73" s="397"/>
      <c r="C73" s="110"/>
      <c r="D73" s="398" t="s">
        <v>83</v>
      </c>
      <c r="E73" s="398"/>
      <c r="F73" s="398"/>
      <c r="G73" s="110" t="s">
        <v>68</v>
      </c>
      <c r="H73" s="111" t="s">
        <v>69</v>
      </c>
    </row>
    <row r="74" spans="1:19" ht="70.5" customHeight="1" x14ac:dyDescent="0.25">
      <c r="A74" s="157"/>
      <c r="B74" s="150" t="s">
        <v>70</v>
      </c>
      <c r="C74" s="208"/>
      <c r="D74" s="373" t="s">
        <v>242</v>
      </c>
      <c r="E74" s="373"/>
      <c r="F74" s="374"/>
      <c r="G74" s="52"/>
      <c r="H74" s="89"/>
      <c r="I74" s="379" t="s">
        <v>243</v>
      </c>
      <c r="J74" s="380"/>
      <c r="K74" s="380"/>
      <c r="L74" s="380"/>
      <c r="M74" s="380"/>
      <c r="N74" s="380"/>
      <c r="O74" s="380"/>
      <c r="P74" s="385"/>
    </row>
    <row r="75" spans="1:19" ht="67.5" customHeight="1" x14ac:dyDescent="0.25">
      <c r="A75" s="157"/>
      <c r="B75" s="151" t="s">
        <v>72</v>
      </c>
      <c r="C75" s="210"/>
      <c r="D75" s="391" t="s">
        <v>244</v>
      </c>
      <c r="E75" s="391"/>
      <c r="F75" s="392"/>
      <c r="G75" s="53"/>
      <c r="H75" s="72"/>
      <c r="I75" s="379" t="s">
        <v>245</v>
      </c>
      <c r="J75" s="380"/>
      <c r="K75" s="380"/>
      <c r="L75" s="380"/>
      <c r="M75" s="380"/>
      <c r="N75" s="380"/>
      <c r="O75" s="380"/>
      <c r="P75" s="385"/>
    </row>
    <row r="76" spans="1:19" ht="77.25" customHeight="1" x14ac:dyDescent="0.25">
      <c r="A76" s="157"/>
      <c r="B76" s="151" t="s">
        <v>74</v>
      </c>
      <c r="C76" s="210"/>
      <c r="D76" s="391" t="s">
        <v>246</v>
      </c>
      <c r="E76" s="391"/>
      <c r="F76" s="392"/>
      <c r="G76" s="51"/>
      <c r="H76" s="136" t="s">
        <v>126</v>
      </c>
      <c r="I76" s="400" t="s">
        <v>247</v>
      </c>
      <c r="J76" s="401"/>
      <c r="K76" s="401"/>
      <c r="L76" s="401"/>
      <c r="M76" s="401"/>
      <c r="N76" s="401"/>
      <c r="O76" s="401"/>
      <c r="P76" s="402"/>
    </row>
    <row r="77" spans="1:19" ht="63.75" customHeight="1" x14ac:dyDescent="0.25">
      <c r="A77" s="157"/>
      <c r="B77" s="151" t="s">
        <v>76</v>
      </c>
      <c r="C77" s="210"/>
      <c r="D77" s="391" t="s">
        <v>87</v>
      </c>
      <c r="E77" s="391"/>
      <c r="F77" s="392"/>
      <c r="G77" s="135"/>
      <c r="H77" s="133"/>
      <c r="I77" s="381" t="s">
        <v>248</v>
      </c>
      <c r="J77" s="381"/>
      <c r="K77" s="381"/>
      <c r="L77" s="381"/>
      <c r="M77" s="381"/>
      <c r="N77" s="381"/>
      <c r="O77" s="381"/>
      <c r="P77" s="382"/>
    </row>
    <row r="78" spans="1:19" ht="45.75" customHeight="1" x14ac:dyDescent="0.25">
      <c r="B78" s="151" t="s">
        <v>88</v>
      </c>
      <c r="C78" s="210"/>
      <c r="D78" s="391" t="s">
        <v>249</v>
      </c>
      <c r="E78" s="391"/>
      <c r="F78" s="392"/>
      <c r="G78" s="129"/>
      <c r="H78" s="134"/>
    </row>
    <row r="79" spans="1:19" ht="45.75" customHeight="1" x14ac:dyDescent="0.25">
      <c r="A79" s="397" t="s">
        <v>92</v>
      </c>
      <c r="B79" s="397"/>
      <c r="C79" s="110"/>
      <c r="D79" s="398" t="s">
        <v>93</v>
      </c>
      <c r="E79" s="398"/>
      <c r="F79" s="398"/>
      <c r="G79" s="142" t="s">
        <v>68</v>
      </c>
      <c r="H79" s="211" t="s">
        <v>69</v>
      </c>
    </row>
    <row r="80" spans="1:19" ht="55.5" customHeight="1" x14ac:dyDescent="0.25">
      <c r="A80" s="157"/>
      <c r="B80" s="153" t="s">
        <v>70</v>
      </c>
      <c r="C80" s="70"/>
      <c r="D80" s="416" t="s">
        <v>250</v>
      </c>
      <c r="E80" s="417"/>
      <c r="F80" s="417"/>
      <c r="G80" s="177"/>
      <c r="H80" s="159"/>
      <c r="I80" s="504" t="s">
        <v>251</v>
      </c>
      <c r="J80" s="505"/>
      <c r="K80" s="505"/>
      <c r="L80" s="505"/>
      <c r="M80" s="505"/>
      <c r="N80" s="505"/>
      <c r="O80" s="505"/>
      <c r="P80" s="506"/>
    </row>
    <row r="81" spans="1:16" ht="63" customHeight="1" x14ac:dyDescent="0.25">
      <c r="A81" s="157"/>
      <c r="B81" s="154" t="s">
        <v>72</v>
      </c>
      <c r="C81" s="93"/>
      <c r="D81" s="421" t="s">
        <v>252</v>
      </c>
      <c r="E81" s="422"/>
      <c r="F81" s="423"/>
      <c r="G81" s="137"/>
      <c r="H81" s="141" t="s">
        <v>253</v>
      </c>
      <c r="I81" s="510" t="s">
        <v>254</v>
      </c>
      <c r="J81" s="511"/>
      <c r="K81" s="511"/>
      <c r="L81" s="507" t="s">
        <v>255</v>
      </c>
      <c r="M81" s="508"/>
      <c r="N81" s="508"/>
      <c r="O81" s="508"/>
      <c r="P81" s="509"/>
    </row>
    <row r="82" spans="1:16" ht="27.75" customHeight="1" x14ac:dyDescent="0.25">
      <c r="A82" s="157"/>
      <c r="B82" s="158"/>
      <c r="C82" s="157"/>
      <c r="D82" s="157"/>
      <c r="E82" s="66"/>
      <c r="F82" s="66"/>
      <c r="G82" s="66"/>
      <c r="H82" s="49"/>
    </row>
    <row r="83" spans="1:16" ht="15" customHeight="1" x14ac:dyDescent="0.25">
      <c r="A83" s="397" t="s">
        <v>97</v>
      </c>
      <c r="B83" s="397"/>
      <c r="C83" s="110"/>
      <c r="D83" s="398" t="s">
        <v>98</v>
      </c>
      <c r="E83" s="398"/>
      <c r="F83" s="398"/>
      <c r="G83" s="110" t="s">
        <v>68</v>
      </c>
      <c r="H83" s="211" t="s">
        <v>69</v>
      </c>
    </row>
    <row r="84" spans="1:16" ht="37.5" customHeight="1" x14ac:dyDescent="0.25">
      <c r="A84" s="157"/>
      <c r="B84" s="150" t="s">
        <v>70</v>
      </c>
      <c r="C84" s="90"/>
      <c r="D84" s="373" t="s">
        <v>99</v>
      </c>
      <c r="E84" s="373"/>
      <c r="F84" s="374"/>
      <c r="G84" s="58" t="s">
        <v>256</v>
      </c>
      <c r="H84" s="143" t="s">
        <v>253</v>
      </c>
      <c r="I84" s="512" t="s">
        <v>254</v>
      </c>
      <c r="J84" s="513"/>
      <c r="K84" s="514"/>
    </row>
    <row r="85" spans="1:16" ht="65.25" customHeight="1" x14ac:dyDescent="0.25">
      <c r="A85" s="157"/>
      <c r="B85" s="151" t="s">
        <v>72</v>
      </c>
      <c r="C85" s="71"/>
      <c r="D85" s="391" t="s">
        <v>257</v>
      </c>
      <c r="E85" s="391"/>
      <c r="F85" s="392"/>
      <c r="G85" s="129"/>
      <c r="H85" s="144"/>
      <c r="I85" s="379" t="s">
        <v>258</v>
      </c>
      <c r="J85" s="380"/>
      <c r="K85" s="380"/>
      <c r="L85" s="380"/>
      <c r="M85" s="380"/>
      <c r="N85" s="380"/>
      <c r="O85" s="380"/>
      <c r="P85" s="385"/>
    </row>
    <row r="86" spans="1:16" s="60" customFormat="1" ht="78" customHeight="1" x14ac:dyDescent="0.25">
      <c r="A86" s="59"/>
      <c r="B86" s="151" t="s">
        <v>237</v>
      </c>
      <c r="C86" s="91"/>
      <c r="D86" s="411" t="s">
        <v>259</v>
      </c>
      <c r="E86" s="375"/>
      <c r="F86" s="376"/>
      <c r="G86" s="138"/>
      <c r="H86" s="145"/>
      <c r="I86" s="379" t="s">
        <v>260</v>
      </c>
      <c r="J86" s="380"/>
      <c r="K86" s="380"/>
      <c r="L86" s="380"/>
      <c r="M86" s="380"/>
      <c r="N86" s="381"/>
      <c r="O86" s="381"/>
      <c r="P86" s="382"/>
    </row>
    <row r="87" spans="1:16" ht="69.75" customHeight="1" x14ac:dyDescent="0.25">
      <c r="A87" s="157"/>
      <c r="B87" s="152" t="s">
        <v>76</v>
      </c>
      <c r="C87" s="92"/>
      <c r="D87" s="418" t="s">
        <v>261</v>
      </c>
      <c r="E87" s="419"/>
      <c r="F87" s="420"/>
      <c r="G87" s="58"/>
      <c r="H87" s="146" t="s">
        <v>126</v>
      </c>
      <c r="I87" s="383" t="s">
        <v>262</v>
      </c>
      <c r="J87" s="389"/>
      <c r="K87" s="389"/>
      <c r="L87" s="389"/>
      <c r="M87" s="390"/>
    </row>
    <row r="88" spans="1:16" ht="16.5" customHeight="1" x14ac:dyDescent="0.25">
      <c r="A88" s="157"/>
      <c r="B88" s="69"/>
      <c r="C88" s="90"/>
      <c r="D88" s="147"/>
      <c r="E88" s="70"/>
      <c r="F88" s="70"/>
      <c r="G88" s="148"/>
      <c r="H88" s="149"/>
      <c r="I88" s="212"/>
      <c r="J88" s="60"/>
      <c r="K88" s="60"/>
      <c r="L88" s="60"/>
      <c r="M88" s="60"/>
    </row>
    <row r="89" spans="1:16" ht="20.25" customHeight="1" x14ac:dyDescent="0.25">
      <c r="B89" s="388" t="s">
        <v>102</v>
      </c>
      <c r="C89" s="388"/>
      <c r="D89" s="388"/>
      <c r="E89" s="388"/>
      <c r="F89" s="176"/>
      <c r="G89" s="37"/>
      <c r="H89" s="37"/>
    </row>
    <row r="90" spans="1:16" ht="15" customHeight="1" x14ac:dyDescent="0.25">
      <c r="B90" s="500">
        <v>1</v>
      </c>
      <c r="C90" s="501"/>
      <c r="D90" s="412"/>
      <c r="E90" s="413"/>
      <c r="F90" s="413"/>
      <c r="G90" s="413"/>
      <c r="H90" s="413"/>
    </row>
    <row r="91" spans="1:16" ht="15" customHeight="1" x14ac:dyDescent="0.25">
      <c r="B91" s="502">
        <v>2</v>
      </c>
      <c r="C91" s="503"/>
      <c r="D91" s="414"/>
      <c r="E91" s="415"/>
      <c r="F91" s="415"/>
      <c r="G91" s="415"/>
      <c r="H91" s="415"/>
    </row>
    <row r="92" spans="1:16" ht="15" customHeight="1" x14ac:dyDescent="0.25">
      <c r="B92" s="502">
        <v>3</v>
      </c>
      <c r="C92" s="503"/>
      <c r="D92" s="414"/>
      <c r="E92" s="415"/>
      <c r="F92" s="415"/>
      <c r="G92" s="415"/>
      <c r="H92" s="415"/>
    </row>
    <row r="93" spans="1:16" ht="15" customHeight="1" x14ac:dyDescent="0.25">
      <c r="B93" s="502">
        <v>4</v>
      </c>
      <c r="C93" s="503"/>
      <c r="D93" s="414"/>
      <c r="E93" s="415"/>
      <c r="F93" s="415"/>
      <c r="G93" s="415"/>
      <c r="H93" s="415"/>
    </row>
    <row r="94" spans="1:16" x14ac:dyDescent="0.25">
      <c r="B94" s="502">
        <v>5</v>
      </c>
      <c r="C94" s="503"/>
      <c r="D94" s="265"/>
      <c r="E94" s="265"/>
      <c r="F94" s="265"/>
      <c r="G94" s="265"/>
      <c r="H94" s="265"/>
    </row>
    <row r="95" spans="1:16" x14ac:dyDescent="0.25"/>
    <row r="96" spans="1:16" x14ac:dyDescent="0.25"/>
    <row r="97" spans="2:8" x14ac:dyDescent="0.25">
      <c r="B97" s="3"/>
      <c r="C97" s="1"/>
      <c r="D97" s="197"/>
      <c r="E97" s="1"/>
    </row>
    <row r="98" spans="2:8" x14ac:dyDescent="0.25">
      <c r="B98" s="3"/>
      <c r="C98" s="1"/>
      <c r="D98" s="197"/>
      <c r="E98" s="1"/>
    </row>
    <row r="99" spans="2:8" ht="15.75" x14ac:dyDescent="0.25">
      <c r="B99" s="499" t="s">
        <v>46</v>
      </c>
      <c r="C99" s="499"/>
      <c r="D99" s="499"/>
      <c r="E99" s="499"/>
    </row>
    <row r="100" spans="2:8" ht="66" customHeight="1" x14ac:dyDescent="0.25">
      <c r="B100" s="262"/>
      <c r="C100" s="262"/>
      <c r="D100" s="262"/>
      <c r="E100" s="262"/>
      <c r="F100" s="262"/>
      <c r="G100" s="262"/>
      <c r="H100" s="263"/>
    </row>
    <row r="101" spans="2:8" x14ac:dyDescent="0.25">
      <c r="D101" s="18"/>
    </row>
    <row r="102" spans="2:8" x14ac:dyDescent="0.25"/>
    <row r="103" spans="2:8" x14ac:dyDescent="0.25"/>
    <row r="104" spans="2:8" x14ac:dyDescent="0.25">
      <c r="B104" s="2" t="s">
        <v>104</v>
      </c>
    </row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x14ac:dyDescent="0.25"/>
    <row r="114" x14ac:dyDescent="0.25"/>
    <row r="115" x14ac:dyDescent="0.25"/>
    <row r="116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</sheetData>
  <mergeCells count="114">
    <mergeCell ref="I69:S69"/>
    <mergeCell ref="I70:S70"/>
    <mergeCell ref="I71:S71"/>
    <mergeCell ref="B99:E99"/>
    <mergeCell ref="I85:P85"/>
    <mergeCell ref="I86:P86"/>
    <mergeCell ref="B90:C90"/>
    <mergeCell ref="B91:C91"/>
    <mergeCell ref="B92:C92"/>
    <mergeCell ref="B93:C93"/>
    <mergeCell ref="B94:C94"/>
    <mergeCell ref="I80:P80"/>
    <mergeCell ref="L81:P81"/>
    <mergeCell ref="I81:K81"/>
    <mergeCell ref="I84:K84"/>
    <mergeCell ref="D92:H92"/>
    <mergeCell ref="D93:H93"/>
    <mergeCell ref="D94:H94"/>
    <mergeCell ref="B1:D1"/>
    <mergeCell ref="I63:M63"/>
    <mergeCell ref="D47:F47"/>
    <mergeCell ref="B66:S66"/>
    <mergeCell ref="A72:S72"/>
    <mergeCell ref="I74:P74"/>
    <mergeCell ref="D29:E29"/>
    <mergeCell ref="F29:H29"/>
    <mergeCell ref="B2:H2"/>
    <mergeCell ref="B4:H4"/>
    <mergeCell ref="C12:D12"/>
    <mergeCell ref="C18:E18"/>
    <mergeCell ref="D5:G5"/>
    <mergeCell ref="C20:E20"/>
    <mergeCell ref="F20:G20"/>
    <mergeCell ref="C17:G17"/>
    <mergeCell ref="C8:D8"/>
    <mergeCell ref="C9:D9"/>
    <mergeCell ref="C10:D10"/>
    <mergeCell ref="C11:D11"/>
    <mergeCell ref="E14:G14"/>
    <mergeCell ref="C19:E19"/>
    <mergeCell ref="F19:G19"/>
    <mergeCell ref="C21:E21"/>
    <mergeCell ref="F21:G21"/>
    <mergeCell ref="B25:H25"/>
    <mergeCell ref="D31:E31"/>
    <mergeCell ref="F31:H31"/>
    <mergeCell ref="C14:D14"/>
    <mergeCell ref="D32:E32"/>
    <mergeCell ref="F32:H32"/>
    <mergeCell ref="E60:F60"/>
    <mergeCell ref="C36:F36"/>
    <mergeCell ref="C38:F38"/>
    <mergeCell ref="C39:F39"/>
    <mergeCell ref="C40:F40"/>
    <mergeCell ref="D33:E33"/>
    <mergeCell ref="F33:H33"/>
    <mergeCell ref="D34:E34"/>
    <mergeCell ref="F34:H34"/>
    <mergeCell ref="C41:F41"/>
    <mergeCell ref="D51:H51"/>
    <mergeCell ref="B53:H53"/>
    <mergeCell ref="B55:H55"/>
    <mergeCell ref="C43:H43"/>
    <mergeCell ref="G45:H45"/>
    <mergeCell ref="F49:H49"/>
    <mergeCell ref="D57:F57"/>
    <mergeCell ref="E58:F58"/>
    <mergeCell ref="G58:G59"/>
    <mergeCell ref="E59:F59"/>
    <mergeCell ref="B100:H100"/>
    <mergeCell ref="D30:E30"/>
    <mergeCell ref="D86:F86"/>
    <mergeCell ref="D85:F85"/>
    <mergeCell ref="D90:H90"/>
    <mergeCell ref="D91:H91"/>
    <mergeCell ref="A79:B79"/>
    <mergeCell ref="D79:F79"/>
    <mergeCell ref="D80:F80"/>
    <mergeCell ref="D77:F77"/>
    <mergeCell ref="D87:F87"/>
    <mergeCell ref="D81:F81"/>
    <mergeCell ref="A83:B83"/>
    <mergeCell ref="D83:F83"/>
    <mergeCell ref="D84:F84"/>
    <mergeCell ref="D78:F78"/>
    <mergeCell ref="F30:H30"/>
    <mergeCell ref="A67:B67"/>
    <mergeCell ref="D67:F67"/>
    <mergeCell ref="D68:F68"/>
    <mergeCell ref="A63:B63"/>
    <mergeCell ref="D63:F63"/>
    <mergeCell ref="D64:F64"/>
    <mergeCell ref="D65:F65"/>
    <mergeCell ref="I44:P46"/>
    <mergeCell ref="I68:S68"/>
    <mergeCell ref="I65:M65"/>
    <mergeCell ref="I64:M64"/>
    <mergeCell ref="D45:F45"/>
    <mergeCell ref="B89:E89"/>
    <mergeCell ref="I87:M87"/>
    <mergeCell ref="D74:F74"/>
    <mergeCell ref="D75:F75"/>
    <mergeCell ref="D48:E48"/>
    <mergeCell ref="D49:E49"/>
    <mergeCell ref="D76:F76"/>
    <mergeCell ref="A73:B73"/>
    <mergeCell ref="D73:F73"/>
    <mergeCell ref="D69:F69"/>
    <mergeCell ref="D70:F70"/>
    <mergeCell ref="D71:F71"/>
    <mergeCell ref="I76:P76"/>
    <mergeCell ref="I77:P77"/>
    <mergeCell ref="I75:P75"/>
    <mergeCell ref="E61:F61"/>
  </mergeCells>
  <hyperlinks>
    <hyperlink ref="D63" r:id="rId1" display="..\..\..\..\..\..\..\..\:b:\s\DOH_HCD\EWx-58SY4u1AjJoyaC7YBYwBk_HnMWhJQsYCi6XWCNX2-g?e=mZy57H" xr:uid="{BC4A356B-E7C8-44BD-ADDD-86B5EC15C620}"/>
    <hyperlink ref="D63:F63" r:id="rId2" display="Funding Priority (click link to review)" xr:uid="{2F3557D5-09DF-4275-9799-8D32897B6B95}"/>
  </hyperlinks>
  <pageMargins left="0.7" right="0.7" top="0.75" bottom="0.75" header="0.3" footer="0.3"/>
  <pageSetup scale="58" fitToHeight="2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FABDB3-F2C2-499C-9CBA-F7C7797B69E5}">
          <x14:formula1>
            <xm:f>Instructions!$B$16:$B$17</xm:f>
          </x14:formula1>
          <xm:sqref>C29:C35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19FC-0A66-46A7-913E-C1DF3677E4DE}">
  <sheetPr>
    <pageSetUpPr fitToPage="1"/>
  </sheetPr>
  <dimension ref="A1:S95"/>
  <sheetViews>
    <sheetView tabSelected="1" topLeftCell="A46" workbookViewId="0">
      <selection activeCell="D59" sqref="D59:F59"/>
    </sheetView>
  </sheetViews>
  <sheetFormatPr defaultColWidth="9.140625" defaultRowHeight="15" customHeight="1" x14ac:dyDescent="0.25"/>
  <cols>
    <col min="1" max="1" width="3.5703125" customWidth="1"/>
    <col min="2" max="2" width="5" style="2" customWidth="1"/>
    <col min="3" max="3" width="5" customWidth="1"/>
    <col min="4" max="4" width="22.140625" customWidth="1"/>
    <col min="5" max="5" width="38.5703125" customWidth="1"/>
    <col min="6" max="6" width="34" customWidth="1"/>
    <col min="7" max="7" width="42.42578125" customWidth="1"/>
    <col min="8" max="8" width="16" customWidth="1"/>
    <col min="19" max="19" width="7.5703125" customWidth="1"/>
  </cols>
  <sheetData>
    <row r="1" spans="2:8" s="19" customFormat="1" ht="15" customHeight="1" thickBot="1" x14ac:dyDescent="0.3">
      <c r="B1" s="464" t="s">
        <v>12</v>
      </c>
      <c r="C1" s="464"/>
      <c r="D1" s="464"/>
      <c r="E1" s="112"/>
      <c r="F1" s="113"/>
      <c r="G1" s="114" t="s">
        <v>183</v>
      </c>
      <c r="H1" s="31"/>
    </row>
    <row r="2" spans="2:8" ht="22.5" customHeight="1" thickBot="1" x14ac:dyDescent="0.3">
      <c r="B2" s="469" t="s">
        <v>184</v>
      </c>
      <c r="C2" s="216"/>
      <c r="D2" s="216"/>
      <c r="E2" s="216"/>
      <c r="F2" s="216"/>
      <c r="G2" s="216"/>
      <c r="H2" s="216"/>
    </row>
    <row r="4" spans="2:8" ht="18.75" x14ac:dyDescent="0.25">
      <c r="B4" s="470" t="s">
        <v>185</v>
      </c>
      <c r="C4" s="470"/>
      <c r="D4" s="470"/>
      <c r="E4" s="470"/>
      <c r="F4" s="470"/>
      <c r="G4" s="470"/>
      <c r="H4" s="470"/>
    </row>
    <row r="5" spans="2:8" ht="15.75" x14ac:dyDescent="0.25">
      <c r="D5" s="475" t="s">
        <v>186</v>
      </c>
      <c r="E5" s="475"/>
      <c r="F5" s="475"/>
      <c r="G5" s="475"/>
    </row>
    <row r="6" spans="2:8" x14ac:dyDescent="0.25"/>
    <row r="7" spans="2:8" x14ac:dyDescent="0.25"/>
    <row r="8" spans="2:8" ht="15.75" x14ac:dyDescent="0.25">
      <c r="C8" s="483" t="s">
        <v>17</v>
      </c>
      <c r="D8" s="484"/>
      <c r="E8" s="73"/>
      <c r="F8" s="84" t="s">
        <v>187</v>
      </c>
      <c r="G8" s="74"/>
    </row>
    <row r="9" spans="2:8" ht="15.75" x14ac:dyDescent="0.25">
      <c r="C9" s="485" t="s">
        <v>19</v>
      </c>
      <c r="D9" s="486"/>
      <c r="E9" s="75"/>
      <c r="F9" s="76" t="s">
        <v>20</v>
      </c>
      <c r="G9" s="74"/>
    </row>
    <row r="10" spans="2:8" ht="15.75" x14ac:dyDescent="0.25">
      <c r="C10" s="487" t="s">
        <v>21</v>
      </c>
      <c r="D10" s="488"/>
      <c r="E10" s="85">
        <f>'Completion Checklist'!E10</f>
        <v>0</v>
      </c>
      <c r="F10" s="77"/>
      <c r="G10" s="78"/>
    </row>
    <row r="11" spans="2:8" ht="15.75" x14ac:dyDescent="0.25">
      <c r="C11" s="483" t="s">
        <v>22</v>
      </c>
      <c r="D11" s="484"/>
      <c r="E11" s="79">
        <f>'Completion Checklist'!E11</f>
        <v>0</v>
      </c>
      <c r="F11" s="78"/>
      <c r="G11" s="78"/>
    </row>
    <row r="12" spans="2:8" ht="15.75" x14ac:dyDescent="0.25">
      <c r="C12" s="471" t="s">
        <v>188</v>
      </c>
      <c r="D12" s="472"/>
      <c r="E12" s="80">
        <v>0</v>
      </c>
      <c r="F12" s="81" t="s">
        <v>189</v>
      </c>
      <c r="G12" s="82"/>
    </row>
    <row r="13" spans="2:8" ht="15.75" x14ac:dyDescent="0.25">
      <c r="C13" s="83"/>
      <c r="D13" s="83"/>
      <c r="E13" s="83"/>
      <c r="F13" s="83"/>
      <c r="G13" s="83"/>
    </row>
    <row r="14" spans="2:8" ht="42" customHeight="1" x14ac:dyDescent="0.25">
      <c r="C14" s="436" t="s">
        <v>190</v>
      </c>
      <c r="D14" s="437"/>
      <c r="E14" s="489"/>
      <c r="F14" s="489"/>
      <c r="G14" s="490"/>
    </row>
    <row r="15" spans="2:8" ht="15.75" x14ac:dyDescent="0.25">
      <c r="C15" s="83"/>
      <c r="D15" s="83"/>
      <c r="E15" s="83"/>
      <c r="F15" s="83"/>
      <c r="G15" s="83"/>
    </row>
    <row r="16" spans="2:8" ht="16.5" thickBot="1" x14ac:dyDescent="0.3">
      <c r="C16" s="83"/>
      <c r="D16" s="83"/>
      <c r="E16" s="83"/>
      <c r="F16" s="83"/>
      <c r="G16" s="83"/>
    </row>
    <row r="17" spans="1:8" ht="18.75" x14ac:dyDescent="0.3">
      <c r="C17" s="480" t="s">
        <v>191</v>
      </c>
      <c r="D17" s="481"/>
      <c r="E17" s="481"/>
      <c r="F17" s="481"/>
      <c r="G17" s="482"/>
      <c r="H17" s="61"/>
    </row>
    <row r="18" spans="1:8" ht="15.75" x14ac:dyDescent="0.25">
      <c r="C18" s="473" t="s">
        <v>192</v>
      </c>
      <c r="D18" s="474"/>
      <c r="E18" s="474"/>
      <c r="F18" s="188">
        <f>SUM(H36,H37,H40,H41,H42,H43,H46,H47,H48,H49,H50,H52,H57,H58,H59)</f>
        <v>0</v>
      </c>
      <c r="G18" s="65"/>
      <c r="H18" s="62"/>
    </row>
    <row r="19" spans="1:8" ht="21.75" customHeight="1" x14ac:dyDescent="0.25">
      <c r="C19" s="491" t="s">
        <v>193</v>
      </c>
      <c r="D19" s="477"/>
      <c r="E19" s="477"/>
      <c r="F19" s="492"/>
      <c r="G19" s="493"/>
      <c r="H19" s="63"/>
    </row>
    <row r="20" spans="1:8" ht="65.25" customHeight="1" x14ac:dyDescent="0.25">
      <c r="C20" s="476" t="s">
        <v>194</v>
      </c>
      <c r="D20" s="477"/>
      <c r="E20" s="477"/>
      <c r="F20" s="478"/>
      <c r="G20" s="479"/>
      <c r="H20" s="64"/>
    </row>
    <row r="21" spans="1:8" ht="82.7" customHeight="1" thickBot="1" x14ac:dyDescent="0.3">
      <c r="C21" s="494" t="s">
        <v>195</v>
      </c>
      <c r="D21" s="495"/>
      <c r="E21" s="495"/>
      <c r="F21" s="429"/>
      <c r="G21" s="430"/>
      <c r="H21" s="63"/>
    </row>
    <row r="22" spans="1:8" x14ac:dyDescent="0.25"/>
    <row r="23" spans="1:8" x14ac:dyDescent="0.25">
      <c r="C23" s="200"/>
      <c r="D23" s="200" t="s">
        <v>126</v>
      </c>
      <c r="E23" s="200"/>
      <c r="F23" s="60"/>
      <c r="G23" s="60"/>
    </row>
    <row r="25" spans="1:8" ht="21" x14ac:dyDescent="0.35">
      <c r="B25" s="453" t="s">
        <v>65</v>
      </c>
      <c r="C25" s="453"/>
      <c r="D25" s="453"/>
      <c r="E25" s="453"/>
      <c r="F25" s="453"/>
      <c r="G25" s="453"/>
      <c r="H25" s="453"/>
    </row>
    <row r="26" spans="1:8" x14ac:dyDescent="0.25">
      <c r="A26" s="47"/>
      <c r="B26" s="48"/>
      <c r="C26" s="48"/>
      <c r="D26" s="48"/>
      <c r="E26" s="48"/>
      <c r="F26" s="48"/>
      <c r="G26" s="48"/>
      <c r="H26" s="48"/>
    </row>
    <row r="27" spans="1:8" ht="30" customHeight="1" x14ac:dyDescent="0.25">
      <c r="A27" s="47"/>
      <c r="B27" s="454" t="s">
        <v>219</v>
      </c>
      <c r="C27" s="455"/>
      <c r="D27" s="455"/>
      <c r="E27" s="455"/>
      <c r="F27" s="455"/>
      <c r="G27" s="455"/>
      <c r="H27" s="455"/>
    </row>
    <row r="28" spans="1:8" ht="16.5" customHeight="1" thickBot="1" x14ac:dyDescent="0.3">
      <c r="A28" s="47"/>
      <c r="B28" s="55"/>
      <c r="C28" s="55"/>
      <c r="D28" s="55"/>
      <c r="E28" s="55"/>
      <c r="F28" s="55"/>
      <c r="G28" s="55"/>
      <c r="H28" s="55"/>
    </row>
    <row r="29" spans="1:8" ht="16.5" customHeight="1" x14ac:dyDescent="0.3">
      <c r="A29" s="47"/>
      <c r="B29" s="55"/>
      <c r="C29" s="55"/>
      <c r="D29" s="462" t="s">
        <v>220</v>
      </c>
      <c r="E29" s="463"/>
      <c r="F29" s="463"/>
      <c r="G29" s="104"/>
      <c r="H29" s="55"/>
    </row>
    <row r="30" spans="1:8" ht="18.75" customHeight="1" x14ac:dyDescent="0.25">
      <c r="A30" s="47"/>
      <c r="B30" s="55"/>
      <c r="C30" s="55"/>
      <c r="D30" s="105">
        <v>0</v>
      </c>
      <c r="E30" s="404" t="s">
        <v>221</v>
      </c>
      <c r="F30" s="405"/>
      <c r="G30" s="406" t="s">
        <v>222</v>
      </c>
      <c r="H30" s="55"/>
    </row>
    <row r="31" spans="1:8" ht="18.75" customHeight="1" x14ac:dyDescent="0.25">
      <c r="A31" s="47"/>
      <c r="B31" s="55"/>
      <c r="C31" s="55"/>
      <c r="D31" s="105">
        <v>1</v>
      </c>
      <c r="E31" s="408" t="s">
        <v>223</v>
      </c>
      <c r="F31" s="405"/>
      <c r="G31" s="407"/>
      <c r="H31" s="55"/>
    </row>
    <row r="32" spans="1:8" ht="18.75" customHeight="1" x14ac:dyDescent="0.25">
      <c r="A32" s="47"/>
      <c r="B32" s="55"/>
      <c r="C32" s="55"/>
      <c r="D32" s="105">
        <v>2</v>
      </c>
      <c r="E32" s="404" t="s">
        <v>224</v>
      </c>
      <c r="F32" s="405"/>
      <c r="G32" s="106"/>
      <c r="H32" s="55"/>
    </row>
    <row r="33" spans="1:19" ht="18.75" customHeight="1" thickBot="1" x14ac:dyDescent="0.3">
      <c r="A33" s="47"/>
      <c r="B33" s="55"/>
      <c r="C33" s="55"/>
      <c r="D33" s="107">
        <v>3</v>
      </c>
      <c r="E33" s="403" t="s">
        <v>225</v>
      </c>
      <c r="F33" s="403"/>
      <c r="G33" s="108"/>
      <c r="H33" s="55"/>
    </row>
    <row r="34" spans="1:19" ht="16.5" customHeight="1" x14ac:dyDescent="0.25">
      <c r="A34" s="47"/>
      <c r="B34" s="55"/>
      <c r="C34" s="55"/>
      <c r="D34" s="55"/>
      <c r="E34" s="55"/>
      <c r="F34" s="55"/>
      <c r="G34" s="55"/>
      <c r="H34" s="55"/>
    </row>
    <row r="35" spans="1:19" ht="16.5" customHeight="1" x14ac:dyDescent="0.25">
      <c r="A35" s="397" t="s">
        <v>1</v>
      </c>
      <c r="B35" s="397"/>
      <c r="C35" s="110"/>
      <c r="D35" s="372" t="s">
        <v>226</v>
      </c>
      <c r="E35" s="372"/>
      <c r="F35" s="372"/>
      <c r="G35" s="110" t="s">
        <v>68</v>
      </c>
      <c r="H35" s="111" t="s">
        <v>69</v>
      </c>
      <c r="I35" s="465" t="s">
        <v>227</v>
      </c>
      <c r="J35" s="465"/>
      <c r="K35" s="465"/>
      <c r="L35" s="465"/>
      <c r="M35" s="465"/>
    </row>
    <row r="36" spans="1:19" ht="42.75" customHeight="1" x14ac:dyDescent="0.25">
      <c r="A36" s="47"/>
      <c r="B36" s="150" t="s">
        <v>70</v>
      </c>
      <c r="C36" s="67"/>
      <c r="D36" s="373" t="s">
        <v>228</v>
      </c>
      <c r="E36" s="373"/>
      <c r="F36" s="374"/>
      <c r="G36" s="50"/>
      <c r="H36" s="89"/>
      <c r="I36" s="384" t="s">
        <v>229</v>
      </c>
      <c r="J36" s="380"/>
      <c r="K36" s="380"/>
      <c r="L36" s="380"/>
      <c r="M36" s="385"/>
      <c r="N36" s="56"/>
    </row>
    <row r="37" spans="1:19" ht="78.75" customHeight="1" x14ac:dyDescent="0.25">
      <c r="B37" s="151" t="s">
        <v>72</v>
      </c>
      <c r="C37" s="209"/>
      <c r="D37" s="375" t="s">
        <v>230</v>
      </c>
      <c r="E37" s="375"/>
      <c r="F37" s="376"/>
      <c r="G37" s="51"/>
      <c r="H37" s="72"/>
      <c r="I37" s="383" t="s">
        <v>231</v>
      </c>
      <c r="J37" s="381"/>
      <c r="K37" s="381"/>
      <c r="L37" s="381"/>
      <c r="M37" s="382"/>
      <c r="N37" s="56"/>
      <c r="O37" s="56"/>
    </row>
    <row r="38" spans="1:19" ht="15" customHeight="1" x14ac:dyDescent="0.25"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</row>
    <row r="39" spans="1:19" ht="15" customHeight="1" x14ac:dyDescent="0.25">
      <c r="A39" s="427" t="s">
        <v>7</v>
      </c>
      <c r="B39" s="427"/>
      <c r="C39" s="110"/>
      <c r="D39" s="398" t="s">
        <v>232</v>
      </c>
      <c r="E39" s="398"/>
      <c r="F39" s="398"/>
      <c r="G39" s="110" t="s">
        <v>68</v>
      </c>
      <c r="H39" s="111" t="s">
        <v>69</v>
      </c>
    </row>
    <row r="40" spans="1:19" ht="128.25" customHeight="1" x14ac:dyDescent="0.25">
      <c r="A40" s="157"/>
      <c r="B40" s="150" t="s">
        <v>70</v>
      </c>
      <c r="C40" s="208"/>
      <c r="D40" s="428" t="s">
        <v>233</v>
      </c>
      <c r="E40" s="373"/>
      <c r="F40" s="374"/>
      <c r="G40" s="52"/>
      <c r="H40" s="130"/>
      <c r="I40" s="379" t="s">
        <v>234</v>
      </c>
      <c r="J40" s="380"/>
      <c r="K40" s="380"/>
      <c r="L40" s="380"/>
      <c r="M40" s="380"/>
      <c r="N40" s="380"/>
      <c r="O40" s="381"/>
      <c r="P40" s="381"/>
      <c r="Q40" s="381"/>
      <c r="R40" s="381"/>
      <c r="S40" s="382"/>
    </row>
    <row r="41" spans="1:19" ht="63.75" customHeight="1" x14ac:dyDescent="0.25">
      <c r="A41" s="157"/>
      <c r="B41" s="154" t="s">
        <v>235</v>
      </c>
      <c r="C41" s="68"/>
      <c r="D41" s="391" t="s">
        <v>80</v>
      </c>
      <c r="E41" s="391"/>
      <c r="F41" s="392"/>
      <c r="G41" s="129"/>
      <c r="H41" s="132"/>
      <c r="I41" s="496" t="s">
        <v>236</v>
      </c>
      <c r="J41" s="497"/>
      <c r="K41" s="497"/>
      <c r="L41" s="497"/>
      <c r="M41" s="497"/>
      <c r="N41" s="497"/>
      <c r="O41" s="497"/>
      <c r="P41" s="497"/>
      <c r="Q41" s="497"/>
      <c r="R41" s="497"/>
      <c r="S41" s="498"/>
    </row>
    <row r="42" spans="1:19" ht="84.75" customHeight="1" x14ac:dyDescent="0.25">
      <c r="A42" s="157"/>
      <c r="B42" s="153" t="s">
        <v>237</v>
      </c>
      <c r="C42" s="70"/>
      <c r="D42" s="375" t="s">
        <v>238</v>
      </c>
      <c r="E42" s="375"/>
      <c r="F42" s="376"/>
      <c r="G42" s="129"/>
      <c r="H42" s="128"/>
      <c r="I42" s="383" t="s">
        <v>239</v>
      </c>
      <c r="J42" s="381"/>
      <c r="K42" s="381"/>
      <c r="L42" s="381"/>
      <c r="M42" s="381"/>
      <c r="N42" s="381"/>
      <c r="O42" s="381"/>
      <c r="P42" s="381"/>
      <c r="Q42" s="381"/>
      <c r="R42" s="381"/>
      <c r="S42" s="382"/>
    </row>
    <row r="43" spans="1:19" ht="55.5" customHeight="1" x14ac:dyDescent="0.25">
      <c r="A43" s="157"/>
      <c r="B43" s="153" t="s">
        <v>76</v>
      </c>
      <c r="C43" s="69"/>
      <c r="D43" s="399" t="s">
        <v>240</v>
      </c>
      <c r="E43" s="375"/>
      <c r="F43" s="376"/>
      <c r="G43" s="109"/>
      <c r="H43" s="131"/>
      <c r="I43" s="383" t="s">
        <v>241</v>
      </c>
      <c r="J43" s="381"/>
      <c r="K43" s="381"/>
      <c r="L43" s="381"/>
      <c r="M43" s="381"/>
      <c r="N43" s="381"/>
      <c r="O43" s="381"/>
      <c r="P43" s="381"/>
      <c r="Q43" s="381"/>
      <c r="R43" s="381"/>
      <c r="S43" s="382"/>
    </row>
    <row r="44" spans="1:19" ht="23.25" customHeight="1" x14ac:dyDescent="0.25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</row>
    <row r="45" spans="1:19" ht="35.25" customHeight="1" x14ac:dyDescent="0.25">
      <c r="A45" s="397" t="s">
        <v>82</v>
      </c>
      <c r="B45" s="397"/>
      <c r="C45" s="110"/>
      <c r="D45" s="398" t="s">
        <v>83</v>
      </c>
      <c r="E45" s="398"/>
      <c r="F45" s="398"/>
      <c r="G45" s="110" t="s">
        <v>68</v>
      </c>
      <c r="H45" s="111" t="s">
        <v>69</v>
      </c>
    </row>
    <row r="46" spans="1:19" ht="70.5" customHeight="1" x14ac:dyDescent="0.25">
      <c r="A46" s="157"/>
      <c r="B46" s="150" t="s">
        <v>70</v>
      </c>
      <c r="C46" s="208"/>
      <c r="D46" s="373" t="s">
        <v>242</v>
      </c>
      <c r="E46" s="373"/>
      <c r="F46" s="374"/>
      <c r="G46" s="52"/>
      <c r="H46" s="89"/>
      <c r="I46" s="379" t="s">
        <v>243</v>
      </c>
      <c r="J46" s="380"/>
      <c r="K46" s="380"/>
      <c r="L46" s="380"/>
      <c r="M46" s="380"/>
      <c r="N46" s="380"/>
      <c r="O46" s="380"/>
      <c r="P46" s="385"/>
    </row>
    <row r="47" spans="1:19" ht="67.5" customHeight="1" x14ac:dyDescent="0.25">
      <c r="A47" s="157"/>
      <c r="B47" s="151" t="s">
        <v>72</v>
      </c>
      <c r="C47" s="210"/>
      <c r="D47" s="391" t="s">
        <v>244</v>
      </c>
      <c r="E47" s="391"/>
      <c r="F47" s="392"/>
      <c r="G47" s="53"/>
      <c r="H47" s="72"/>
      <c r="I47" s="379" t="s">
        <v>245</v>
      </c>
      <c r="J47" s="380"/>
      <c r="K47" s="380"/>
      <c r="L47" s="380"/>
      <c r="M47" s="380"/>
      <c r="N47" s="380"/>
      <c r="O47" s="380"/>
      <c r="P47" s="385"/>
    </row>
    <row r="48" spans="1:19" ht="77.25" customHeight="1" x14ac:dyDescent="0.25">
      <c r="A48" s="157"/>
      <c r="B48" s="151" t="s">
        <v>74</v>
      </c>
      <c r="C48" s="210"/>
      <c r="D48" s="391" t="s">
        <v>246</v>
      </c>
      <c r="E48" s="391"/>
      <c r="F48" s="392"/>
      <c r="G48" s="51"/>
      <c r="H48" s="136" t="s">
        <v>126</v>
      </c>
      <c r="I48" s="400" t="s">
        <v>247</v>
      </c>
      <c r="J48" s="401"/>
      <c r="K48" s="401"/>
      <c r="L48" s="401"/>
      <c r="M48" s="401"/>
      <c r="N48" s="401"/>
      <c r="O48" s="401"/>
      <c r="P48" s="402"/>
    </row>
    <row r="49" spans="1:16" ht="63.75" customHeight="1" x14ac:dyDescent="0.25">
      <c r="A49" s="157"/>
      <c r="B49" s="151" t="s">
        <v>76</v>
      </c>
      <c r="C49" s="210"/>
      <c r="D49" s="391" t="s">
        <v>87</v>
      </c>
      <c r="E49" s="391"/>
      <c r="F49" s="392"/>
      <c r="G49" s="135"/>
      <c r="H49" s="133"/>
      <c r="I49" s="381" t="s">
        <v>248</v>
      </c>
      <c r="J49" s="381"/>
      <c r="K49" s="381"/>
      <c r="L49" s="381"/>
      <c r="M49" s="381"/>
      <c r="N49" s="381"/>
      <c r="O49" s="381"/>
      <c r="P49" s="382"/>
    </row>
    <row r="50" spans="1:16" ht="45.75" customHeight="1" x14ac:dyDescent="0.25">
      <c r="B50" s="151" t="s">
        <v>88</v>
      </c>
      <c r="C50" s="210"/>
      <c r="D50" s="391" t="s">
        <v>263</v>
      </c>
      <c r="E50" s="391"/>
      <c r="F50" s="392"/>
      <c r="G50" s="129"/>
      <c r="H50" s="134"/>
    </row>
    <row r="51" spans="1:16" ht="45.75" customHeight="1" x14ac:dyDescent="0.25">
      <c r="A51" s="397" t="s">
        <v>92</v>
      </c>
      <c r="B51" s="397"/>
      <c r="C51" s="110"/>
      <c r="D51" s="398" t="s">
        <v>93</v>
      </c>
      <c r="E51" s="398"/>
      <c r="F51" s="398"/>
      <c r="G51" s="142" t="s">
        <v>68</v>
      </c>
      <c r="H51" s="211" t="s">
        <v>69</v>
      </c>
    </row>
    <row r="52" spans="1:16" ht="55.5" customHeight="1" x14ac:dyDescent="0.25">
      <c r="A52" s="157"/>
      <c r="B52" s="153" t="s">
        <v>70</v>
      </c>
      <c r="C52" s="70"/>
      <c r="D52" s="416" t="s">
        <v>250</v>
      </c>
      <c r="E52" s="417"/>
      <c r="F52" s="417"/>
      <c r="G52" s="177"/>
      <c r="H52" s="159"/>
      <c r="I52" s="504" t="s">
        <v>251</v>
      </c>
      <c r="J52" s="505"/>
      <c r="K52" s="505"/>
      <c r="L52" s="505"/>
      <c r="M52" s="505"/>
      <c r="N52" s="505"/>
      <c r="O52" s="505"/>
      <c r="P52" s="506"/>
    </row>
    <row r="53" spans="1:16" ht="63" customHeight="1" x14ac:dyDescent="0.25">
      <c r="A53" s="157"/>
      <c r="B53" s="154" t="s">
        <v>72</v>
      </c>
      <c r="C53" s="93"/>
      <c r="D53" s="421" t="s">
        <v>252</v>
      </c>
      <c r="E53" s="422"/>
      <c r="F53" s="423"/>
      <c r="G53" s="137"/>
      <c r="H53" s="141" t="s">
        <v>253</v>
      </c>
      <c r="I53" s="510" t="s">
        <v>254</v>
      </c>
      <c r="J53" s="511"/>
      <c r="K53" s="511"/>
      <c r="L53" s="507" t="s">
        <v>255</v>
      </c>
      <c r="M53" s="508"/>
      <c r="N53" s="508"/>
      <c r="O53" s="508"/>
      <c r="P53" s="509"/>
    </row>
    <row r="54" spans="1:16" ht="27.75" customHeight="1" x14ac:dyDescent="0.25">
      <c r="A54" s="157"/>
      <c r="B54" s="158"/>
      <c r="C54" s="157"/>
      <c r="D54" s="157"/>
      <c r="E54" s="66"/>
      <c r="F54" s="66"/>
      <c r="G54" s="66"/>
      <c r="H54" s="49"/>
    </row>
    <row r="55" spans="1:16" ht="15" customHeight="1" x14ac:dyDescent="0.25">
      <c r="A55" s="397" t="s">
        <v>97</v>
      </c>
      <c r="B55" s="397"/>
      <c r="C55" s="110"/>
      <c r="D55" s="398" t="s">
        <v>98</v>
      </c>
      <c r="E55" s="398"/>
      <c r="F55" s="398"/>
      <c r="G55" s="110" t="s">
        <v>68</v>
      </c>
      <c r="H55" s="211" t="s">
        <v>69</v>
      </c>
    </row>
    <row r="56" spans="1:16" ht="37.5" customHeight="1" x14ac:dyDescent="0.25">
      <c r="A56" s="157"/>
      <c r="B56" s="150" t="s">
        <v>70</v>
      </c>
      <c r="C56" s="90"/>
      <c r="D56" s="373" t="s">
        <v>99</v>
      </c>
      <c r="E56" s="373"/>
      <c r="F56" s="374"/>
      <c r="G56" s="58" t="s">
        <v>256</v>
      </c>
      <c r="H56" s="143" t="s">
        <v>253</v>
      </c>
      <c r="I56" s="512" t="s">
        <v>254</v>
      </c>
      <c r="J56" s="513"/>
      <c r="K56" s="514"/>
    </row>
    <row r="57" spans="1:16" ht="65.25" customHeight="1" x14ac:dyDescent="0.25">
      <c r="A57" s="157"/>
      <c r="B57" s="151" t="s">
        <v>72</v>
      </c>
      <c r="C57" s="71"/>
      <c r="D57" s="391" t="s">
        <v>257</v>
      </c>
      <c r="E57" s="391"/>
      <c r="F57" s="392"/>
      <c r="G57" s="129"/>
      <c r="H57" s="144"/>
      <c r="I57" s="379" t="s">
        <v>258</v>
      </c>
      <c r="J57" s="380"/>
      <c r="K57" s="380"/>
      <c r="L57" s="380"/>
      <c r="M57" s="380"/>
      <c r="N57" s="380"/>
      <c r="O57" s="380"/>
      <c r="P57" s="385"/>
    </row>
    <row r="58" spans="1:16" s="60" customFormat="1" ht="78" customHeight="1" x14ac:dyDescent="0.25">
      <c r="A58" s="59"/>
      <c r="B58" s="151" t="s">
        <v>237</v>
      </c>
      <c r="C58" s="91"/>
      <c r="D58" s="411" t="s">
        <v>259</v>
      </c>
      <c r="E58" s="375"/>
      <c r="F58" s="376"/>
      <c r="G58" s="138"/>
      <c r="H58" s="145"/>
      <c r="I58" s="379" t="s">
        <v>260</v>
      </c>
      <c r="J58" s="380"/>
      <c r="K58" s="380"/>
      <c r="L58" s="380"/>
      <c r="M58" s="380"/>
      <c r="N58" s="381"/>
      <c r="O58" s="381"/>
      <c r="P58" s="382"/>
    </row>
    <row r="59" spans="1:16" ht="69.75" customHeight="1" x14ac:dyDescent="0.25">
      <c r="A59" s="157"/>
      <c r="B59" s="152" t="s">
        <v>76</v>
      </c>
      <c r="C59" s="92"/>
      <c r="D59" s="418" t="s">
        <v>261</v>
      </c>
      <c r="E59" s="419"/>
      <c r="F59" s="420"/>
      <c r="G59" s="58"/>
      <c r="H59" s="146" t="s">
        <v>126</v>
      </c>
      <c r="I59" s="383" t="s">
        <v>262</v>
      </c>
      <c r="J59" s="389"/>
      <c r="K59" s="389"/>
      <c r="L59" s="389"/>
      <c r="M59" s="390"/>
    </row>
    <row r="60" spans="1:16" ht="16.5" customHeight="1" x14ac:dyDescent="0.25">
      <c r="A60" s="157"/>
      <c r="B60" s="69"/>
      <c r="C60" s="90"/>
      <c r="D60" s="147"/>
      <c r="E60" s="70"/>
      <c r="F60" s="70"/>
      <c r="G60" s="148"/>
      <c r="H60" s="149"/>
      <c r="I60" s="212"/>
      <c r="J60" s="60"/>
      <c r="K60" s="60"/>
      <c r="L60" s="60"/>
      <c r="M60" s="60"/>
    </row>
    <row r="61" spans="1:16" ht="20.25" customHeight="1" x14ac:dyDescent="0.25">
      <c r="B61" s="388" t="s">
        <v>102</v>
      </c>
      <c r="C61" s="388"/>
      <c r="D61" s="388"/>
      <c r="E61" s="388"/>
      <c r="F61" s="176"/>
      <c r="G61" s="37"/>
      <c r="H61" s="37"/>
    </row>
    <row r="62" spans="1:16" ht="15" customHeight="1" x14ac:dyDescent="0.25">
      <c r="B62" s="500">
        <v>1</v>
      </c>
      <c r="C62" s="501"/>
      <c r="D62" s="412"/>
      <c r="E62" s="413"/>
      <c r="F62" s="413"/>
      <c r="G62" s="413"/>
      <c r="H62" s="413"/>
    </row>
    <row r="63" spans="1:16" ht="15" customHeight="1" x14ac:dyDescent="0.25">
      <c r="B63" s="502">
        <v>2</v>
      </c>
      <c r="C63" s="503"/>
      <c r="D63" s="414"/>
      <c r="E63" s="415"/>
      <c r="F63" s="415"/>
      <c r="G63" s="415"/>
      <c r="H63" s="415"/>
    </row>
    <row r="64" spans="1:16" ht="15" customHeight="1" x14ac:dyDescent="0.25">
      <c r="B64" s="502">
        <v>3</v>
      </c>
      <c r="C64" s="503"/>
      <c r="D64" s="414"/>
      <c r="E64" s="415"/>
      <c r="F64" s="415"/>
      <c r="G64" s="415"/>
      <c r="H64" s="415"/>
    </row>
    <row r="65" spans="2:8" ht="15" customHeight="1" x14ac:dyDescent="0.25">
      <c r="B65" s="502">
        <v>4</v>
      </c>
      <c r="C65" s="503"/>
      <c r="D65" s="414"/>
      <c r="E65" s="415"/>
      <c r="F65" s="415"/>
      <c r="G65" s="415"/>
      <c r="H65" s="415"/>
    </row>
    <row r="66" spans="2:8" x14ac:dyDescent="0.25">
      <c r="B66" s="502">
        <v>5</v>
      </c>
      <c r="C66" s="503"/>
      <c r="D66" s="265"/>
      <c r="E66" s="265"/>
      <c r="F66" s="265"/>
      <c r="G66" s="265"/>
      <c r="H66" s="265"/>
    </row>
    <row r="67" spans="2:8" x14ac:dyDescent="0.25"/>
    <row r="68" spans="2:8" x14ac:dyDescent="0.25"/>
    <row r="69" spans="2:8" x14ac:dyDescent="0.25">
      <c r="B69" s="3"/>
      <c r="C69" s="1"/>
      <c r="D69" s="197"/>
      <c r="E69" s="1"/>
    </row>
    <row r="70" spans="2:8" x14ac:dyDescent="0.25">
      <c r="B70" s="3"/>
      <c r="C70" s="1"/>
      <c r="D70" s="197"/>
      <c r="E70" s="1"/>
    </row>
    <row r="71" spans="2:8" ht="15.75" x14ac:dyDescent="0.25">
      <c r="B71" s="499" t="s">
        <v>46</v>
      </c>
      <c r="C71" s="499"/>
      <c r="D71" s="499"/>
      <c r="E71" s="499"/>
    </row>
    <row r="72" spans="2:8" ht="66" customHeight="1" x14ac:dyDescent="0.25">
      <c r="B72" s="262"/>
      <c r="C72" s="262"/>
      <c r="D72" s="262"/>
      <c r="E72" s="262"/>
      <c r="F72" s="262"/>
      <c r="G72" s="262"/>
      <c r="H72" s="263"/>
    </row>
    <row r="73" spans="2:8" x14ac:dyDescent="0.25">
      <c r="D73" s="18"/>
    </row>
    <row r="74" spans="2:8" x14ac:dyDescent="0.25"/>
    <row r="75" spans="2:8" x14ac:dyDescent="0.25"/>
    <row r="76" spans="2:8" x14ac:dyDescent="0.25">
      <c r="B76" s="2" t="s">
        <v>104</v>
      </c>
    </row>
    <row r="77" spans="2:8" x14ac:dyDescent="0.25"/>
    <row r="78" spans="2:8" x14ac:dyDescent="0.25"/>
    <row r="79" spans="2:8" x14ac:dyDescent="0.25"/>
    <row r="80" spans="2:8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mergeCells count="87">
    <mergeCell ref="B71:E71"/>
    <mergeCell ref="B72:H72"/>
    <mergeCell ref="B64:C64"/>
    <mergeCell ref="D64:H64"/>
    <mergeCell ref="B65:C65"/>
    <mergeCell ref="D65:H65"/>
    <mergeCell ref="B66:C66"/>
    <mergeCell ref="D66:H66"/>
    <mergeCell ref="B63:C63"/>
    <mergeCell ref="D63:H63"/>
    <mergeCell ref="D56:F56"/>
    <mergeCell ref="I56:K56"/>
    <mergeCell ref="D57:F57"/>
    <mergeCell ref="I57:P57"/>
    <mergeCell ref="D58:F58"/>
    <mergeCell ref="I58:P58"/>
    <mergeCell ref="D59:F59"/>
    <mergeCell ref="I59:M59"/>
    <mergeCell ref="B61:E61"/>
    <mergeCell ref="B62:C62"/>
    <mergeCell ref="D62:H62"/>
    <mergeCell ref="A55:B55"/>
    <mergeCell ref="D55:F55"/>
    <mergeCell ref="D48:F48"/>
    <mergeCell ref="I48:P48"/>
    <mergeCell ref="D49:F49"/>
    <mergeCell ref="I49:P49"/>
    <mergeCell ref="D50:F50"/>
    <mergeCell ref="A51:B51"/>
    <mergeCell ref="D51:F51"/>
    <mergeCell ref="D52:F52"/>
    <mergeCell ref="I52:P52"/>
    <mergeCell ref="D53:F53"/>
    <mergeCell ref="I53:K53"/>
    <mergeCell ref="L53:P53"/>
    <mergeCell ref="D47:F47"/>
    <mergeCell ref="I47:P47"/>
    <mergeCell ref="D41:F41"/>
    <mergeCell ref="I41:S41"/>
    <mergeCell ref="D42:F42"/>
    <mergeCell ref="I42:S42"/>
    <mergeCell ref="D43:F43"/>
    <mergeCell ref="I43:S43"/>
    <mergeCell ref="A44:S44"/>
    <mergeCell ref="A45:B45"/>
    <mergeCell ref="D45:F45"/>
    <mergeCell ref="D46:F46"/>
    <mergeCell ref="I46:P46"/>
    <mergeCell ref="D40:F40"/>
    <mergeCell ref="I40:S40"/>
    <mergeCell ref="E32:F32"/>
    <mergeCell ref="E33:F33"/>
    <mergeCell ref="A35:B35"/>
    <mergeCell ref="D35:F35"/>
    <mergeCell ref="I35:M35"/>
    <mergeCell ref="D36:F36"/>
    <mergeCell ref="I36:M36"/>
    <mergeCell ref="D37:F37"/>
    <mergeCell ref="I37:M37"/>
    <mergeCell ref="B38:S38"/>
    <mergeCell ref="A39:B39"/>
    <mergeCell ref="D39:F39"/>
    <mergeCell ref="B25:H25"/>
    <mergeCell ref="B27:H27"/>
    <mergeCell ref="D29:F29"/>
    <mergeCell ref="E30:F30"/>
    <mergeCell ref="G30:G31"/>
    <mergeCell ref="E31:F31"/>
    <mergeCell ref="C21:E21"/>
    <mergeCell ref="F21:G21"/>
    <mergeCell ref="C10:D10"/>
    <mergeCell ref="C11:D11"/>
    <mergeCell ref="C12:D12"/>
    <mergeCell ref="C14:D14"/>
    <mergeCell ref="E14:G14"/>
    <mergeCell ref="C17:G17"/>
    <mergeCell ref="C18:E18"/>
    <mergeCell ref="C19:E19"/>
    <mergeCell ref="F19:G19"/>
    <mergeCell ref="C20:E20"/>
    <mergeCell ref="F20:G20"/>
    <mergeCell ref="C9:D9"/>
    <mergeCell ref="B1:D1"/>
    <mergeCell ref="B2:H2"/>
    <mergeCell ref="B4:H4"/>
    <mergeCell ref="D5:G5"/>
    <mergeCell ref="C8:D8"/>
  </mergeCells>
  <hyperlinks>
    <hyperlink ref="D35" r:id="rId1" display="..\..\..\..\..\..\..\..\:b:\s\DOH_HCD\EWx-58SY4u1AjJoyaC7YBYwBk_HnMWhJQsYCi6XWCNX2-g?e=mZy57H" xr:uid="{0881A1AF-8104-4AFB-9849-A5BAC9D18AF2}"/>
    <hyperlink ref="D35:F35" r:id="rId2" display="Funding Priority (click link to review)" xr:uid="{A8562496-86D9-403E-AC0F-BA54964B1388}"/>
  </hyperlinks>
  <pageMargins left="0.7" right="0.7" top="0.75" bottom="0.75" header="0.3" footer="0.3"/>
  <pageSetup scale="58" fitToHeight="2" orientation="portrait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 xmlns="e546fa46-e07e-40b6-be0c-ec044daae921" xsi:nil="true"/>
    <Date xmlns="e546fa46-e07e-40b6-be0c-ec044daae921" xsi:nil="true"/>
    <DateandTime xmlns="e546fa46-e07e-40b6-be0c-ec044daae921" xsi:nil="true"/>
    <TaxCatchAll xmlns="fbf33938-53bb-4a66-bd57-8b5fe6e3346a" xsi:nil="true"/>
    <lcf76f155ced4ddcb4097134ff3c332f xmlns="e546fa46-e07e-40b6-be0c-ec044daae921">
      <Terms xmlns="http://schemas.microsoft.com/office/infopath/2007/PartnerControls"/>
    </lcf76f155ced4ddcb4097134ff3c332f>
    <HCDGuidelines xmlns="e546fa46-e07e-40b6-be0c-ec044daae921" xsi:nil="true"/>
    <ProjectName xmlns="e546fa46-e07e-40b6-be0c-ec044daae921" xsi:nil="true"/>
    <Borrower xmlns="e546fa46-e07e-40b6-be0c-ec044daae921" xsi:nil="true"/>
    <ChaterGuide xmlns="e546fa46-e07e-40b6-be0c-ec044daae921" xsi:nil="true"/>
    <OriginalAgreement xmlns="e546fa46-e07e-40b6-be0c-ec044daae921" xsi:nil="true"/>
    <Notes xmlns="e546fa46-e07e-40b6-be0c-ec044daae921" xsi:nil="true"/>
    <Usage xmlns="e546fa46-e07e-40b6-be0c-ec044daae9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CF40F3D27A74A8F032EFB13FBB9F7" ma:contentTypeVersion="44" ma:contentTypeDescription="Create a new document." ma:contentTypeScope="" ma:versionID="d9f146170b4657af257ba25ea3f20abb">
  <xsd:schema xmlns:xsd="http://www.w3.org/2001/XMLSchema" xmlns:xs="http://www.w3.org/2001/XMLSchema" xmlns:p="http://schemas.microsoft.com/office/2006/metadata/properties" xmlns:ns2="e546fa46-e07e-40b6-be0c-ec044daae921" xmlns:ns3="d73b3353-f6aa-4055-a9ab-7db85f2a7604" xmlns:ns4="fbf33938-53bb-4a66-bd57-8b5fe6e3346a" targetNamespace="http://schemas.microsoft.com/office/2006/metadata/properties" ma:root="true" ma:fieldsID="c93280da59e0f995c050d20b8b3a4f8f" ns2:_="" ns3:_="" ns4:_="">
    <xsd:import namespace="e546fa46-e07e-40b6-be0c-ec044daae921"/>
    <xsd:import namespace="d73b3353-f6aa-4055-a9ab-7db85f2a7604"/>
    <xsd:import namespace="fbf33938-53bb-4a66-bd57-8b5fe6e3346a"/>
    <xsd:element name="properties">
      <xsd:complexType>
        <xsd:sequence>
          <xsd:element name="documentManagement">
            <xsd:complexType>
              <xsd:all>
                <xsd:element ref="ns2:Assigned" minOccurs="0"/>
                <xsd:element ref="ns2:Date" minOccurs="0"/>
                <xsd:element ref="ns2:DateandTime" minOccurs="0"/>
                <xsd:element ref="ns2:HCDGuidelin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ProjectName" minOccurs="0"/>
                <xsd:element ref="ns2:Borrower" minOccurs="0"/>
                <xsd:element ref="ns2:OriginalAgreement" minOccurs="0"/>
                <xsd:element ref="ns2:ChaterGuide" minOccurs="0"/>
                <xsd:element ref="ns2:Notes" minOccurs="0"/>
                <xsd:element ref="ns2:MediaServiceBillingMetadata" minOccurs="0"/>
                <xsd:element ref="ns2:Us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6fa46-e07e-40b6-be0c-ec044daae921" elementFormDefault="qualified">
    <xsd:import namespace="http://schemas.microsoft.com/office/2006/documentManagement/types"/>
    <xsd:import namespace="http://schemas.microsoft.com/office/infopath/2007/PartnerControls"/>
    <xsd:element name="Assigned" ma:index="2" nillable="true" ma:displayName="Assigned" ma:format="Dropdown" ma:internalName="Assigned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bs"/>
                    <xsd:enumeration value="Bryan"/>
                    <xsd:enumeration value="Danielle"/>
                    <xsd:enumeration value="Gina"/>
                    <xsd:enumeration value="Helen"/>
                    <xsd:enumeration value="Karen"/>
                    <xsd:enumeration value="Nila"/>
                    <xsd:enumeration value="Ray"/>
                    <xsd:enumeration value="Rose"/>
                    <xsd:enumeration value="Simone"/>
                    <xsd:enumeration value="Ying"/>
                    <xsd:enumeration value="Yesenia"/>
                    <xsd:enumeration value="Tim"/>
                    <xsd:enumeration value="Choice 14"/>
                  </xsd:restriction>
                </xsd:simpleType>
              </xsd:element>
            </xsd:sequence>
          </xsd:extension>
        </xsd:complexContent>
      </xsd:complexType>
    </xsd:element>
    <xsd:element name="Date" ma:index="3" nillable="true" ma:displayName="Date" ma:default="[today]" ma:format="DateTime" ma:internalName="Date" ma:readOnly="false">
      <xsd:simpleType>
        <xsd:restriction base="dms:DateTime"/>
      </xsd:simpleType>
    </xsd:element>
    <xsd:element name="DateandTime" ma:index="4" nillable="true" ma:displayName="Year" ma:format="DateTime" ma:internalName="DateandTime">
      <xsd:simpleType>
        <xsd:restriction base="dms:DateTime"/>
      </xsd:simpleType>
    </xsd:element>
    <xsd:element name="HCDGuidelines" ma:index="6" nillable="true" ma:displayName="Chapter #" ma:format="Dropdown" ma:internalName="HCDGuidelines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hidden="true" ma:internalName="MediaServiceAutoTags" ma:readOnly="true">
      <xsd:simpleType>
        <xsd:restriction base="dms:Text"/>
      </xsd:simpleType>
    </xsd:element>
    <xsd:element name="MediaServiceOCR" ma:index="13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2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92796539-644c-497a-9d4d-748e62156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ame" ma:index="3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Borrower" ma:index="31" nillable="true" ma:displayName="Borrower" ma:format="Dropdown" ma:internalName="Borrower">
      <xsd:simpleType>
        <xsd:restriction base="dms:Text">
          <xsd:maxLength value="255"/>
        </xsd:restriction>
      </xsd:simpleType>
    </xsd:element>
    <xsd:element name="OriginalAgreement" ma:index="32" nillable="true" ma:displayName="Original Agreement" ma:description="Amend #1 Needed" ma:format="Dropdown" ma:internalName="OriginalAgreement">
      <xsd:simpleType>
        <xsd:restriction base="dms:Note">
          <xsd:maxLength value="255"/>
        </xsd:restriction>
      </xsd:simpleType>
    </xsd:element>
    <xsd:element name="ChaterGuide" ma:index="33" nillable="true" ma:displayName="Chater Guide" ma:format="Dropdown" ma:internalName="ChaterGuide">
      <xsd:simpleType>
        <xsd:restriction base="dms:Text">
          <xsd:maxLength value="255"/>
        </xsd:restriction>
      </xsd:simpleType>
    </xsd:element>
    <xsd:element name="Notes" ma:index="3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age" ma:index="36" nillable="true" ma:displayName="Usage" ma:format="Dropdown" ma:internalName="Usag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b3353-f6aa-4055-a9ab-7db85f2a7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33938-53bb-4a66-bd57-8b5fe6e3346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8f820eea-4bd1-4d11-bf0e-ab5216b80d73}" ma:internalName="TaxCatchAll" ma:readOnly="false" ma:showField="CatchAllData" ma:web="d73b3353-f6aa-4055-a9ab-7db85f2a7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E5D98C-9038-46B1-86FA-7E822A1D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AD148C-A3D5-4679-AADC-716E650E553B}">
  <ds:schemaRefs>
    <ds:schemaRef ds:uri="d73b3353-f6aa-4055-a9ab-7db85f2a7604"/>
    <ds:schemaRef ds:uri="http://purl.org/dc/elements/1.1/"/>
    <ds:schemaRef ds:uri="http://purl.org/dc/terms/"/>
    <ds:schemaRef ds:uri="http://purl.org/dc/dcmitype/"/>
    <ds:schemaRef ds:uri="http://www.w3.org/XML/1998/namespace"/>
    <ds:schemaRef ds:uri="fbf33938-53bb-4a66-bd57-8b5fe6e3346a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546fa46-e07e-40b6-be0c-ec044daae92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39E3586-139F-4A48-AA88-0FA5C2698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6fa46-e07e-40b6-be0c-ec044daae921"/>
    <ds:schemaRef ds:uri="d73b3353-f6aa-4055-a9ab-7db85f2a7604"/>
    <ds:schemaRef ds:uri="fbf33938-53bb-4a66-bd57-8b5fe6e33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Instructions</vt:lpstr>
      <vt:lpstr>Completion Checklist</vt:lpstr>
      <vt:lpstr>Scoring - New App</vt:lpstr>
      <vt:lpstr>Scoring - New Application</vt:lpstr>
      <vt:lpstr>App Checklist - Doc Review</vt:lpstr>
      <vt:lpstr>Threshold+Scoring - Reviewer 1</vt:lpstr>
      <vt:lpstr>Scoring Sheet - Reviewer 2</vt:lpstr>
      <vt:lpstr>'Scoring - New App'!Print_Area</vt:lpstr>
      <vt:lpstr>'Scoring - New Application'!Print_Area</vt:lpstr>
      <vt:lpstr>'Scoring Sheet - Reviewer 2'!Print_Area</vt:lpstr>
      <vt:lpstr>'Threshold+Scoring - Reviewer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Ying Sham</dc:creator>
  <cp:keywords/>
  <dc:description/>
  <cp:lastModifiedBy>Alejandro Segura</cp:lastModifiedBy>
  <cp:revision/>
  <dcterms:created xsi:type="dcterms:W3CDTF">2020-02-14T01:13:17Z</dcterms:created>
  <dcterms:modified xsi:type="dcterms:W3CDTF">2026-01-15T00:38:05Z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0x010100709CF40F3D27A74A8F032EFB13FBB9F7</vt:lpwstr>
  </property>
  <property fmtid="{D5CDD505-2E9C-101B-9397-08002B2CF9AE}" pid="3" name="MediaServiceImageTags">
    <vt:lpwstr/>
  </property>
</Properties>
</file>